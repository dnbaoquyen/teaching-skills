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ướng dẫn" sheetId="1" state="visible" r:id="rId1"/>
    <sheet xmlns:r="http://schemas.openxmlformats.org/officeDocument/2006/relationships" name="Rubric" sheetId="2" state="visible" r:id="rId2"/>
    <sheet xmlns:r="http://schemas.openxmlformats.org/officeDocument/2006/relationships" name="Chấm nhóm" sheetId="3" state="visible" r:id="rId3"/>
    <sheet xmlns:r="http://schemas.openxmlformats.org/officeDocument/2006/relationships" name="Chấm cá nhân" sheetId="4" state="visible" r:id="rId4"/>
    <sheet xmlns:r="http://schemas.openxmlformats.org/officeDocument/2006/relationships" name="Tổng hợp" sheetId="5" state="visible" r:id="rId5"/>
    <sheet xmlns:r="http://schemas.openxmlformats.org/officeDocument/2006/relationships" name="Ví dụ"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79"/>
      <sz val="13"/>
    </font>
    <font>
      <name val="Arial"/>
    </font>
    <font>
      <name val="Arial"/>
      <b val="1"/>
    </font>
    <font>
      <name val="Arial"/>
      <i val="1"/>
    </font>
    <font>
      <name val="Arial"/>
      <color rgb="000000FF"/>
    </font>
  </fonts>
  <fills count="5">
    <fill>
      <patternFill/>
    </fill>
    <fill>
      <patternFill patternType="gray125"/>
    </fill>
    <fill>
      <patternFill patternType="solid">
        <fgColor rgb="00DCE6F1"/>
      </patternFill>
    </fill>
    <fill>
      <patternFill patternType="solid">
        <fgColor rgb="00EAF1DD"/>
      </patternFill>
    </fill>
    <fill>
      <patternFill patternType="solid">
        <fgColor rgb="00FFF9E5"/>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3"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horizontal="center" vertical="center" wrapText="1"/>
    </xf>
    <xf numFmtId="0" fontId="4" fillId="0" borderId="0" pivotButton="0" quotePrefix="0" xfId="0"/>
    <xf numFmtId="0" fontId="5" fillId="4" borderId="1" applyAlignment="1" pivotButton="0" quotePrefix="0" xfId="0">
      <alignment horizontal="center" vertical="center" wrapText="1"/>
    </xf>
    <xf numFmtId="0" fontId="5" fillId="4" borderId="1" applyAlignment="1" pivotButton="0" quotePrefix="0" xfId="0">
      <alignment vertical="top" wrapText="1"/>
    </xf>
    <xf numFmtId="2" fontId="5" fillId="4" borderId="1" applyAlignment="1" pivotButton="0" quotePrefix="0" xfId="0">
      <alignment horizontal="center" vertical="center" wrapText="1"/>
    </xf>
    <xf numFmtId="2" fontId="3" fillId="3" borderId="1" applyAlignment="1" pivotButton="0" quotePrefix="0" xfId="0">
      <alignment horizontal="center" vertical="center" wrapText="1"/>
    </xf>
    <xf numFmtId="0" fontId="3" fillId="3" borderId="1" applyAlignment="1" pivotButton="0" quotePrefix="0" xfId="0">
      <alignment vertical="top" wrapText="1"/>
    </xf>
    <xf numFmtId="0" fontId="3" fillId="0" borderId="0" pivotButton="0" quotePrefix="0" xfId="0"/>
    <xf numFmtId="0" fontId="5" fillId="4" borderId="1" pivotButton="0" quotePrefix="0" xfId="0"/>
    <xf numFmtId="1" fontId="3" fillId="3" borderId="1" applyAlignment="1" pivotButton="0" quotePrefix="0" xfId="0">
      <alignment horizontal="center" vertical="center" wrapText="1"/>
    </xf>
    <xf numFmtId="9" fontId="3" fillId="3" borderId="1" applyAlignment="1" pivotButton="0" quotePrefix="0" xfId="0">
      <alignment horizontal="center" vertical="center" wrapText="1"/>
    </xf>
    <xf numFmtId="2" fontId="2" fillId="0" borderId="1" applyAlignment="1" pivotButton="0" quotePrefix="0" xfId="0">
      <alignment horizontal="center" vertical="center" wrapText="1"/>
    </xf>
  </cellXfs>
  <cellStyles count="1">
    <cellStyle name="Normal" xfId="0" builtinId="0" hidden="0"/>
  </cellStyles>
  <dxfs count="1">
    <dxf>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MKT1107</author>
  </authors>
  <commentList>
    <comment ref="C4" authorId="0" shapeId="0">
      <text>
        <t>Điểm cuối: MIN(8; nhóm + D). Phần nhóm: MIN(7; nhóm) + 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1:B23"/>
  <sheetViews>
    <sheetView zoomScale="100" workbookViewId="0">
      <selection activeCell="A1" sqref="A1"/>
    </sheetView>
  </sheetViews>
  <sheetFormatPr baseColWidth="8" defaultRowHeight="15"/>
  <cols>
    <col width="4" customWidth="1" min="1" max="1"/>
    <col width="110" customWidth="1" min="2" max="2"/>
  </cols>
  <sheetData>
    <row r="1">
      <c r="B1" s="1" t="inlineStr">
        <is>
          <t>MKT1107 · Bảng chấm thi vấn đáp cuối kỳ theo nhóm</t>
        </is>
      </c>
    </row>
    <row r="2">
      <c r="B2" s="2" t="inlineStr">
        <is>
          <t>Giảng viên: Đoàn Nguyễn Bảo Quyên · Thang 10 · Rubric chi tiết: tài liệu “MKT1107 · Rubric thi vấn đáp cuối kỳ theo nhóm”.</t>
        </is>
      </c>
    </row>
    <row r="3">
      <c r="B3" s="2" t="inlineStr"/>
    </row>
    <row r="4">
      <c r="B4" s="3" t="inlineStr">
        <is>
          <t>CÁCH DÙNG</t>
        </is>
      </c>
    </row>
    <row r="5">
      <c r="B5" s="2" t="inlineStr">
        <is>
          <t>1. Sheet “Chấm nhóm”: mỗi nhóm một dòng. Nhập mã nhóm (ví dụ N01), đề tài, hướng, rồi chọn điểm từng tiêu chí A1–A5, B1–B4, C1, C2 từ danh sách thả xuống.</t>
        </is>
      </c>
    </row>
    <row r="6">
      <c r="B6" s="2" t="inlineStr">
        <is>
          <t>2. Nếu một câu chung được 0 hoặc 0,5 điểm, cột “Được hỏi vớt?” báo “Có”. Hỏi nhóm có nhận câu vớt không, rồi chọn ở cột “Câu vớt”: Không cần / Nhóm từ chối / Đã hỏi.</t>
        </is>
      </c>
    </row>
    <row r="7">
      <c r="B7" s="2" t="inlineStr">
        <is>
          <t>3. Nếu “Đã hỏi”: nhập điểm câu vớt (0–2). Điểm câu vớt tự thay cho câu chung không đạt (câu thấp hơn nếu cả hai không đạt), nếu cao hơn.</t>
        </is>
      </c>
    </row>
    <row r="8">
      <c r="B8" s="2" t="inlineStr">
        <is>
          <t>4. Sheet “Chấm cá nhân”: mỗi sinh viên một dòng. Chọn mã nhóm, nhập điểm câu cá nhân D (0–1). Điểm cuối, xếp loại tự tính.</t>
        </is>
      </c>
    </row>
    <row r="9">
      <c r="B9" s="2" t="inlineStr">
        <is>
          <t>5. Sheet “Tổng hợp”: thống kê điểm và xếp loại của lớp. Sheet “Ví dụ”: 4 ví dụ trong rubric, tính bằng cùng công thức để đối chiếu.</t>
        </is>
      </c>
    </row>
    <row r="10">
      <c r="B10" s="2" t="inlineStr"/>
    </row>
    <row r="11">
      <c r="B11" s="3" t="inlineStr">
        <is>
          <t>MÀU Ô</t>
        </is>
      </c>
    </row>
    <row r="12">
      <c r="B12" s="2" t="inlineStr">
        <is>
          <t>Chữ xanh trên nền vàng nhạt = ô nhập. Nền xanh lá nhạt = kết quả tự tính (không sửa). Ô đỏ = cảnh báo cần xem lại.</t>
        </is>
      </c>
    </row>
    <row r="13">
      <c r="B13" s="2" t="inlineStr"/>
    </row>
    <row r="14">
      <c r="B14" s="2" t="inlineStr">
        <is>
          <t>QUY TẮC TÍNH ĐIỂM (theo rubric)</t>
        </is>
      </c>
    </row>
    <row r="15">
      <c r="B15" s="2" t="inlineStr">
        <is>
          <t>Điểm nhóm = A (3) + B (2) + C1 + C2 (4), sau khi thay điểm câu vớt nếu có. Điểm sinh viên = Điểm nhóm + D (1). Làm tròn đến 0,25.</t>
        </is>
      </c>
    </row>
    <row r="16">
      <c r="B16" s="2" t="inlineStr">
        <is>
          <t>Nhóm đã nhận câu vớt: điểm cuối tối đa 8. Cách áp trần chọn ở ô C4 sheet “Chấm cá nhân”:</t>
        </is>
      </c>
    </row>
    <row r="17">
      <c r="B17" s="2" t="inlineStr">
        <is>
          <t xml:space="preserve">   • “Điểm cuối” (mặc định): Điểm cuối = MIN(8; Điểm nhóm + D).</t>
        </is>
      </c>
    </row>
    <row r="18">
      <c r="B18" s="2" t="inlineStr">
        <is>
          <t xml:space="preserve">   • “Phần nhóm”: Điểm cuối = MIN(7; Điểm nhóm) + D — giữ khác biệt giữa các thành viên.</t>
        </is>
      </c>
    </row>
    <row r="19">
      <c r="B19" s="2" t="inlineStr">
        <is>
          <t>Xếp loại theo phụ lục đề cương: Xuất sắc 9–10 · Giỏi 8–&lt;9 · Khá 6,5–&lt;8 · Trung bình 5–&lt;6,5 · Yếu 3–&lt;5 · Kém 0–&lt;3.</t>
        </is>
      </c>
    </row>
    <row r="20">
      <c r="B20" s="2" t="inlineStr"/>
    </row>
    <row r="21">
      <c r="B21" s="3" t="inlineStr">
        <is>
          <t>LƯU Ý</t>
        </is>
      </c>
    </row>
    <row r="22">
      <c r="B22" s="2" t="inlineStr">
        <is>
          <t>File chứa họ tên, MSSV sinh viên khi đã nhập: lưu và chia sẻ theo quy định bảo mật dữ liệu của trường.</t>
        </is>
      </c>
    </row>
    <row r="23">
      <c r="B23" s="2" t="inlineStr">
        <is>
          <t>Sinh viên vắng thi, thành viên không đóng góp: xử lý theo quyết định của giảng viên và quy chế trường, ghi ở cột Ghi chú.</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zoomScale="100" workbookViewId="0">
      <selection activeCell="A1" sqref="A1"/>
    </sheetView>
  </sheetViews>
  <sheetFormatPr baseColWidth="8" defaultRowHeight="15"/>
  <cols>
    <col width="7" customWidth="1" min="1" max="1"/>
    <col width="42" customWidth="1" min="2" max="2"/>
    <col width="9" customWidth="1" min="3" max="3"/>
    <col width="22" customWidth="1" min="4" max="4"/>
    <col width="80" customWidth="1" min="5" max="5"/>
  </cols>
  <sheetData>
    <row r="1">
      <c r="A1" s="4" t="inlineStr">
        <is>
          <t>Mã</t>
        </is>
      </c>
      <c r="B1" s="4" t="inlineStr">
        <is>
          <t>Tiêu chí</t>
        </is>
      </c>
      <c r="C1" s="4" t="inlineStr">
        <is>
          <t>Tối đa</t>
        </is>
      </c>
      <c r="D1" s="4" t="inlineStr">
        <is>
          <t>Mức điểm cho phép</t>
        </is>
      </c>
      <c r="E1" s="4" t="inlineStr">
        <is>
          <t>Mô tả mức cao nhất</t>
        </is>
      </c>
    </row>
    <row r="2">
      <c r="A2" s="5" t="inlineStr">
        <is>
          <t>A1</t>
        </is>
      </c>
      <c r="B2" s="6" t="inlineStr">
        <is>
          <t>Vấn đề, mục tiêu, câu hỏi nghiên cứu (Bài 1, 4)</t>
        </is>
      </c>
      <c r="C2" s="5" t="n">
        <v>0.5</v>
      </c>
      <c r="D2" s="5" t="inlineStr">
        <is>
          <t>0 · 0,25 · 0,5</t>
        </is>
      </c>
      <c r="E2" s="6" t="inlineStr">
        <is>
          <t>VĐ quản trị/nghiên cứu tách bạch; mục tiêu SMART; câu hỏi khớp mục tiêu; đối tượng, phạm vi rõ</t>
        </is>
      </c>
    </row>
    <row r="3">
      <c r="A3" s="5" t="inlineStr">
        <is>
          <t>A2</t>
        </is>
      </c>
      <c r="B3" s="6" t="inlineStr">
        <is>
          <t>Cơ sở lý thuyết, tổng quan, trích dẫn (Bài 2, 3)</t>
        </is>
      </c>
      <c r="C3" s="5" t="n">
        <v>0.5</v>
      </c>
      <c r="D3" s="5" t="inlineStr">
        <is>
          <t>0 · 0,25 · 0,5</t>
        </is>
      </c>
      <c r="E3" s="6" t="inlineStr">
        <is>
          <t>Tổng hợp nguồn học thuật có thật → mô hình/khung chủ đề; APA 7 đúng, khớp hai chiều; khai báo và nhật ký AI</t>
        </is>
      </c>
    </row>
    <row r="4">
      <c r="A4" s="5" t="inlineStr">
        <is>
          <t>A3</t>
        </is>
      </c>
      <c r="B4" s="6" t="inlineStr">
        <is>
          <t>Phương pháp nghiên cứu (Bài 5–8)</t>
        </is>
      </c>
      <c r="C4" s="5" t="n">
        <v>0.75</v>
      </c>
      <c r="D4" s="5" t="inlineStr">
        <is>
          <t>0 · 0,25 · 0,5 · 0,75</t>
        </is>
      </c>
      <c r="E4" s="6" t="inlineStr">
        <is>
          <t>Phương pháp hợp câu hỏi; đúng tên phương pháp chọn mẫu, cỡ mẫu có căn cứ; thang đo có nguồn, đúng cấp; có thử nghiệm; tuân thủ đạo đức</t>
        </is>
      </c>
    </row>
    <row r="5">
      <c r="A5" s="5" t="inlineStr">
        <is>
          <t>A4</t>
        </is>
      </c>
      <c r="B5" s="6" t="inlineStr">
        <is>
          <t>Kết quả và phân tích (Bài 9)</t>
        </is>
      </c>
      <c r="C5" s="5" t="n">
        <v>0.75</v>
      </c>
      <c r="D5" s="5" t="inlineStr">
        <is>
          <t>0 · 0,25 · 0,5 · 0,75</t>
        </is>
      </c>
      <c r="E5" s="6" t="inlineStr">
        <is>
          <t>Báo cáo số phiếu; kỹ thuật đúng cấp thang đo, trả lời câu hỏi NC; diễn giải đúng (bác bỏ/chưa đủ cơ sở bác bỏ H0; tương quan ≠ nhân quả)</t>
        </is>
      </c>
    </row>
    <row r="6">
      <c r="A6" s="5" t="inlineStr">
        <is>
          <t>A5</t>
        </is>
      </c>
      <c r="B6" s="6" t="inlineStr">
        <is>
          <t>Kết luận, hàm ý quản trị, hạn chế (Bài 4, 10)</t>
        </is>
      </c>
      <c r="C6" s="5" t="n">
        <v>0.5</v>
      </c>
      <c r="D6" s="5" t="inlineStr">
        <is>
          <t>0 · 0,25 · 0,5</t>
        </is>
      </c>
      <c r="E6" s="6" t="inlineStr">
        <is>
          <t>Trả lời đủ câu hỏi; hàm ý cụ thể bám kết quả; nêu trung thực hạn chế khái quát hóa</t>
        </is>
      </c>
    </row>
    <row r="7">
      <c r="A7" s="5" t="inlineStr">
        <is>
          <t>B1</t>
        </is>
      </c>
      <c r="B7" s="6" t="inlineStr">
        <is>
          <t>Cấu trúc và thời gian (Bài 10)</t>
        </is>
      </c>
      <c r="C7" s="5" t="n">
        <v>0.5</v>
      </c>
      <c r="D7" s="5" t="inlineStr">
        <is>
          <t>0 · 0,25 · 0,5</t>
        </is>
      </c>
      <c r="E7" s="6" t="inlineStr">
        <is>
          <t>Vấn đề → phương pháp → kết quả → hàm ý; xong trong 3 phút</t>
        </is>
      </c>
    </row>
    <row r="8">
      <c r="A8" s="5" t="inlineStr">
        <is>
          <t>B2</t>
        </is>
      </c>
      <c r="B8" s="6" t="inlineStr">
        <is>
          <t>Bảng, biểu đồ (Bài 10 mục 10.3)</t>
        </is>
      </c>
      <c r="C8" s="5" t="n">
        <v>0.5</v>
      </c>
      <c r="D8" s="5" t="inlineStr">
        <is>
          <t>0 · 0,25 · 0,5</t>
        </is>
      </c>
      <c r="E8" s="6" t="inlineStr">
        <is>
          <t>Có tên, đơn vị, nguồn; đúng loại biểu đồ; không làm sai lệch cảm nhận</t>
        </is>
      </c>
    </row>
    <row r="9">
      <c r="A9" s="5" t="inlineStr">
        <is>
          <t>B3</t>
        </is>
      </c>
      <c r="B9" s="6" t="inlineStr">
        <is>
          <t>Rõ ràng, chính xác thuật ngữ</t>
        </is>
      </c>
      <c r="C9" s="5" t="n">
        <v>0.5</v>
      </c>
      <c r="D9" s="5" t="inlineStr">
        <is>
          <t>0 · 0,25 · 0,5</t>
        </is>
      </c>
      <c r="E9" s="6" t="inlineStr">
        <is>
          <t>Nêu rõ phát hiện chính bằng số liệu; dùng đúng thuật ngữ</t>
        </is>
      </c>
    </row>
    <row r="10">
      <c r="A10" s="5" t="inlineStr">
        <is>
          <t>B4</t>
        </is>
      </c>
      <c r="B10" s="6" t="inlineStr">
        <is>
          <t>Phối hợp nhóm (AM9)</t>
        </is>
      </c>
      <c r="C10" s="5" t="n">
        <v>0.5</v>
      </c>
      <c r="D10" s="5" t="inlineStr">
        <is>
          <t>0 · 0,25 · 0,5</t>
        </is>
      </c>
      <c r="E10" s="6" t="inlineStr">
        <is>
          <t>Các thành viên cùng trình bày/hỗ trợ rõ vai trò</t>
        </is>
      </c>
    </row>
    <row r="11">
      <c r="A11" s="5" t="inlineStr">
        <is>
          <t>C1</t>
        </is>
      </c>
      <c r="B11" s="6" t="inlineStr">
        <is>
          <t>Câu hỏi chung 1</t>
        </is>
      </c>
      <c r="C11" s="5" t="n">
        <v>2</v>
      </c>
      <c r="D11" s="5" t="inlineStr">
        <is>
          <t>0 · 0,5 · 1 · 1,5 · 2</t>
        </is>
      </c>
      <c r="E11" s="6" t="inlineStr">
        <is>
          <t>Đúng, đủ ý, giải thích được, liên hệ cụ thể đề tài và số liệu nhóm</t>
        </is>
      </c>
    </row>
    <row r="12">
      <c r="A12" s="5" t="inlineStr">
        <is>
          <t>C2</t>
        </is>
      </c>
      <c r="B12" s="6" t="inlineStr">
        <is>
          <t>Câu hỏi chung 2</t>
        </is>
      </c>
      <c r="C12" s="5" t="n">
        <v>2</v>
      </c>
      <c r="D12" s="5" t="inlineStr">
        <is>
          <t>0 · 0,5 · 1 · 1,5 · 2</t>
        </is>
      </c>
      <c r="E12" s="6" t="inlineStr">
        <is>
          <t>Như C1</t>
        </is>
      </c>
    </row>
    <row r="13">
      <c r="A13" s="5" t="inlineStr">
        <is>
          <t>V</t>
        </is>
      </c>
      <c r="B13" s="6" t="inlineStr">
        <is>
          <t>Câu hỏi vớt (nếu có)</t>
        </is>
      </c>
      <c r="C13" s="5" t="n">
        <v>2</v>
      </c>
      <c r="D13" s="5" t="inlineStr">
        <is>
          <t>0 · 0,5 · 1 · 1,5 · 2</t>
        </is>
      </c>
      <c r="E13" s="6" t="inlineStr">
        <is>
          <t>Như C1; thay cho câu chung không đạt; nhóm đã nhận vớt thì điểm cuối tối đa 8</t>
        </is>
      </c>
    </row>
    <row r="14">
      <c r="A14" s="5" t="inlineStr">
        <is>
          <t>D</t>
        </is>
      </c>
      <c r="B14" s="6" t="inlineStr">
        <is>
          <t>Câu hỏi cá nhân</t>
        </is>
      </c>
      <c r="C14" s="5" t="n">
        <v>1</v>
      </c>
      <c r="D14" s="5" t="inlineStr">
        <is>
          <t>0 · 0,25 · 0,5 · 0,75 · 1</t>
        </is>
      </c>
      <c r="E14" s="6" t="inlineStr">
        <is>
          <t>Đúng, đủ, giải thích được và ví dụ từ dự án nhóm</t>
        </is>
      </c>
    </row>
    <row r="15">
      <c r="B15" s="7" t="inlineStr">
        <is>
          <t>Tổng tối đa</t>
        </is>
      </c>
      <c r="C15" s="8">
        <f>SUM(C2:C12)+C14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9"/>
  <sheetViews>
    <sheetView zoomScale="100" workbookViewId="0">
      <pane xSplit="3" ySplit="4" topLeftCell="D5"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11"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10" customWidth="1" min="15" max="15"/>
    <col width="14" customWidth="1" min="16" max="16"/>
    <col width="9" customWidth="1" min="17" max="17"/>
    <col width="10" customWidth="1" min="18" max="18"/>
    <col width="8" customWidth="1" min="19" max="19"/>
    <col width="8" customWidth="1" min="20" max="20"/>
    <col width="10" customWidth="1" min="21" max="21"/>
    <col width="11" customWidth="1" min="22" max="22"/>
    <col width="10" customWidth="1" min="23" max="23"/>
    <col width="22" customWidth="1" min="24" max="24"/>
    <col width="30" customWidth="1" min="25" max="25"/>
  </cols>
  <sheetData>
    <row r="1">
      <c r="A1" s="1" t="inlineStr">
        <is>
          <t>CHẤM PHẦN NHÓM</t>
        </is>
      </c>
    </row>
    <row r="2">
      <c r="A2" s="9" t="inlineStr">
        <is>
          <t>Chọn điểm từ danh sách thả xuống. Cột xanh lá tự tính.</t>
        </is>
      </c>
    </row>
    <row r="4" ht="32" customHeight="1">
      <c r="A4" s="4" t="inlineStr">
        <is>
          <t>Mã nhóm</t>
        </is>
      </c>
      <c r="B4" s="4" t="inlineStr">
        <is>
          <t>Đề tài</t>
        </is>
      </c>
      <c r="C4" s="4" t="inlineStr">
        <is>
          <t>Hướng</t>
        </is>
      </c>
      <c r="D4" s="4" t="inlineStr">
        <is>
          <t>A1
(0,5)</t>
        </is>
      </c>
      <c r="E4" s="4" t="inlineStr">
        <is>
          <t>A2
(0,5)</t>
        </is>
      </c>
      <c r="F4" s="4" t="inlineStr">
        <is>
          <t>A3
(0,75)</t>
        </is>
      </c>
      <c r="G4" s="4" t="inlineStr">
        <is>
          <t>A4
(0,75)</t>
        </is>
      </c>
      <c r="H4" s="4" t="inlineStr">
        <is>
          <t>A5
(0,5)</t>
        </is>
      </c>
      <c r="I4" s="4" t="inlineStr">
        <is>
          <t>B1
(0,5)</t>
        </is>
      </c>
      <c r="J4" s="4" t="inlineStr">
        <is>
          <t>B2
(0,5)</t>
        </is>
      </c>
      <c r="K4" s="4" t="inlineStr">
        <is>
          <t>B3
(0,5)</t>
        </is>
      </c>
      <c r="L4" s="4" t="inlineStr">
        <is>
          <t>B4
(0,5)</t>
        </is>
      </c>
      <c r="M4" s="4" t="inlineStr">
        <is>
          <t>C1
(2)</t>
        </is>
      </c>
      <c r="N4" s="4" t="inlineStr">
        <is>
          <t>C2
(2)</t>
        </is>
      </c>
      <c r="O4" s="4" t="inlineStr">
        <is>
          <t>Được hỏi vớt?</t>
        </is>
      </c>
      <c r="P4" s="4" t="inlineStr">
        <is>
          <t>Câu vớt</t>
        </is>
      </c>
      <c r="Q4" s="4" t="inlineStr">
        <is>
          <t>Điểm vớt
(2)</t>
        </is>
      </c>
      <c r="R4" s="4" t="inlineStr">
        <is>
          <t>Vớt thay cho</t>
        </is>
      </c>
      <c r="S4" s="4" t="inlineStr">
        <is>
          <t>A
(3)</t>
        </is>
      </c>
      <c r="T4" s="4" t="inlineStr">
        <is>
          <t>B
(2)</t>
        </is>
      </c>
      <c r="U4" s="4" t="inlineStr">
        <is>
          <t>C sau vớt
(4)</t>
        </is>
      </c>
      <c r="V4" s="4" t="inlineStr">
        <is>
          <t>Điểm nhóm
(9)</t>
        </is>
      </c>
      <c r="W4" s="4" t="inlineStr">
        <is>
          <t>Nhóm đã nhận vớt</t>
        </is>
      </c>
      <c r="X4" s="4" t="inlineStr">
        <is>
          <t>Kiểm tra</t>
        </is>
      </c>
      <c r="Y4" s="4" t="inlineStr">
        <is>
          <t>Ghi chú</t>
        </is>
      </c>
    </row>
    <row r="5">
      <c r="A5" s="10" t="n"/>
      <c r="B5" s="11" t="n"/>
      <c r="C5" s="10" t="n"/>
      <c r="D5" s="12" t="n"/>
      <c r="E5" s="12" t="n"/>
      <c r="F5" s="12" t="n"/>
      <c r="G5" s="12" t="n"/>
      <c r="H5" s="12" t="n"/>
      <c r="I5" s="12" t="n"/>
      <c r="J5" s="12" t="n"/>
      <c r="K5" s="12" t="n"/>
      <c r="L5" s="12" t="n"/>
      <c r="M5" s="12" t="n"/>
      <c r="N5" s="12" t="n"/>
      <c r="O5" s="8">
        <f>IF(COUNT(M5:N5)=0,"",IF(OR(AND(ISNUMBER(M5),M5&lt;=0.5),AND(ISNUMBER(N5),N5&lt;=0.5)),"Có","Không"))</f>
        <v/>
      </c>
      <c r="P5" s="10" t="n"/>
      <c r="Q5" s="12" t="n"/>
      <c r="R5" s="8">
        <f>IF(P5="Đã hỏi",IF(MIN(N(M5),N(N5))&lt;=0.5,IF(N(M5)&lt;=N(N5),"C1","C2"),""),"")</f>
        <v/>
      </c>
      <c r="S5" s="13">
        <f>IF(COUNT(D5:H5)=0,"",SUM(D5:H5))</f>
        <v/>
      </c>
      <c r="T5" s="13">
        <f>IF(COUNT(I5:L5)=0,"",SUM(I5:L5))</f>
        <v/>
      </c>
      <c r="U5" s="13">
        <f>IF(COUNT(M5:N5)=0,"",IF(R5="C1",MAX(N(M5),N(Q5)),N(M5))+IF(R5="C2",MAX(N(N5),N(Q5)),N(N5)))</f>
        <v/>
      </c>
      <c r="V5" s="13">
        <f>IF(A5="","",N(S5)+N(T5)+N(U5))</f>
        <v/>
      </c>
      <c r="W5" s="8">
        <f>IF(A5="","",IF(P5="Đã hỏi","Có","Không"))</f>
        <v/>
      </c>
      <c r="X5" s="14">
        <f>IF(A5="","",IF(COUNT(D5:N5)&lt;11,"Chưa chấm đủ tiêu chí",IF(AND(P5="Đã hỏi",O5&lt;&gt;"Có"),"Nhóm không đủ điều kiện hỏi vớt",IF(AND(P5="Đã hỏi",Q5=""),"Chưa nhập điểm vớt",IF(AND(O5="Có",P5=""),"Chọn trạng thái câu vớt","OK")))))</f>
        <v/>
      </c>
      <c r="Y5" s="11" t="n"/>
    </row>
    <row r="6">
      <c r="A6" s="10" t="n"/>
      <c r="B6" s="11" t="n"/>
      <c r="C6" s="10" t="n"/>
      <c r="D6" s="12" t="n"/>
      <c r="E6" s="12" t="n"/>
      <c r="F6" s="12" t="n"/>
      <c r="G6" s="12" t="n"/>
      <c r="H6" s="12" t="n"/>
      <c r="I6" s="12" t="n"/>
      <c r="J6" s="12" t="n"/>
      <c r="K6" s="12" t="n"/>
      <c r="L6" s="12" t="n"/>
      <c r="M6" s="12" t="n"/>
      <c r="N6" s="12" t="n"/>
      <c r="O6" s="8">
        <f>IF(COUNT(M6:N6)=0,"",IF(OR(AND(ISNUMBER(M6),M6&lt;=0.5),AND(ISNUMBER(N6),N6&lt;=0.5)),"Có","Không"))</f>
        <v/>
      </c>
      <c r="P6" s="10" t="n"/>
      <c r="Q6" s="12" t="n"/>
      <c r="R6" s="8">
        <f>IF(P6="Đã hỏi",IF(MIN(N(M6),N(N6))&lt;=0.5,IF(N(M6)&lt;=N(N6),"C1","C2"),""),"")</f>
        <v/>
      </c>
      <c r="S6" s="13">
        <f>IF(COUNT(D6:H6)=0,"",SUM(D6:H6))</f>
        <v/>
      </c>
      <c r="T6" s="13">
        <f>IF(COUNT(I6:L6)=0,"",SUM(I6:L6))</f>
        <v/>
      </c>
      <c r="U6" s="13">
        <f>IF(COUNT(M6:N6)=0,"",IF(R6="C1",MAX(N(M6),N(Q6)),N(M6))+IF(R6="C2",MAX(N(N6),N(Q6)),N(N6)))</f>
        <v/>
      </c>
      <c r="V6" s="13">
        <f>IF(A6="","",N(S6)+N(T6)+N(U6))</f>
        <v/>
      </c>
      <c r="W6" s="8">
        <f>IF(A6="","",IF(P6="Đã hỏi","Có","Không"))</f>
        <v/>
      </c>
      <c r="X6" s="14">
        <f>IF(A6="","",IF(COUNT(D6:N6)&lt;11,"Chưa chấm đủ tiêu chí",IF(AND(P6="Đã hỏi",O6&lt;&gt;"Có"),"Nhóm không đủ điều kiện hỏi vớt",IF(AND(P6="Đã hỏi",Q6=""),"Chưa nhập điểm vớt",IF(AND(O6="Có",P6=""),"Chọn trạng thái câu vớt","OK")))))</f>
        <v/>
      </c>
      <c r="Y6" s="11" t="n"/>
    </row>
    <row r="7">
      <c r="A7" s="10" t="n"/>
      <c r="B7" s="11" t="n"/>
      <c r="C7" s="10" t="n"/>
      <c r="D7" s="12" t="n"/>
      <c r="E7" s="12" t="n"/>
      <c r="F7" s="12" t="n"/>
      <c r="G7" s="12" t="n"/>
      <c r="H7" s="12" t="n"/>
      <c r="I7" s="12" t="n"/>
      <c r="J7" s="12" t="n"/>
      <c r="K7" s="12" t="n"/>
      <c r="L7" s="12" t="n"/>
      <c r="M7" s="12" t="n"/>
      <c r="N7" s="12" t="n"/>
      <c r="O7" s="8">
        <f>IF(COUNT(M7:N7)=0,"",IF(OR(AND(ISNUMBER(M7),M7&lt;=0.5),AND(ISNUMBER(N7),N7&lt;=0.5)),"Có","Không"))</f>
        <v/>
      </c>
      <c r="P7" s="10" t="n"/>
      <c r="Q7" s="12" t="n"/>
      <c r="R7" s="8">
        <f>IF(P7="Đã hỏi",IF(MIN(N(M7),N(N7))&lt;=0.5,IF(N(M7)&lt;=N(N7),"C1","C2"),""),"")</f>
        <v/>
      </c>
      <c r="S7" s="13">
        <f>IF(COUNT(D7:H7)=0,"",SUM(D7:H7))</f>
        <v/>
      </c>
      <c r="T7" s="13">
        <f>IF(COUNT(I7:L7)=0,"",SUM(I7:L7))</f>
        <v/>
      </c>
      <c r="U7" s="13">
        <f>IF(COUNT(M7:N7)=0,"",IF(R7="C1",MAX(N(M7),N(Q7)),N(M7))+IF(R7="C2",MAX(N(N7),N(Q7)),N(N7)))</f>
        <v/>
      </c>
      <c r="V7" s="13">
        <f>IF(A7="","",N(S7)+N(T7)+N(U7))</f>
        <v/>
      </c>
      <c r="W7" s="8">
        <f>IF(A7="","",IF(P7="Đã hỏi","Có","Không"))</f>
        <v/>
      </c>
      <c r="X7" s="14">
        <f>IF(A7="","",IF(COUNT(D7:N7)&lt;11,"Chưa chấm đủ tiêu chí",IF(AND(P7="Đã hỏi",O7&lt;&gt;"Có"),"Nhóm không đủ điều kiện hỏi vớt",IF(AND(P7="Đã hỏi",Q7=""),"Chưa nhập điểm vớt",IF(AND(O7="Có",P7=""),"Chọn trạng thái câu vớt","OK")))))</f>
        <v/>
      </c>
      <c r="Y7" s="11" t="n"/>
    </row>
    <row r="8">
      <c r="A8" s="10" t="n"/>
      <c r="B8" s="11" t="n"/>
      <c r="C8" s="10" t="n"/>
      <c r="D8" s="12" t="n"/>
      <c r="E8" s="12" t="n"/>
      <c r="F8" s="12" t="n"/>
      <c r="G8" s="12" t="n"/>
      <c r="H8" s="12" t="n"/>
      <c r="I8" s="12" t="n"/>
      <c r="J8" s="12" t="n"/>
      <c r="K8" s="12" t="n"/>
      <c r="L8" s="12" t="n"/>
      <c r="M8" s="12" t="n"/>
      <c r="N8" s="12" t="n"/>
      <c r="O8" s="8">
        <f>IF(COUNT(M8:N8)=0,"",IF(OR(AND(ISNUMBER(M8),M8&lt;=0.5),AND(ISNUMBER(N8),N8&lt;=0.5)),"Có","Không"))</f>
        <v/>
      </c>
      <c r="P8" s="10" t="n"/>
      <c r="Q8" s="12" t="n"/>
      <c r="R8" s="8">
        <f>IF(P8="Đã hỏi",IF(MIN(N(M8),N(N8))&lt;=0.5,IF(N(M8)&lt;=N(N8),"C1","C2"),""),"")</f>
        <v/>
      </c>
      <c r="S8" s="13">
        <f>IF(COUNT(D8:H8)=0,"",SUM(D8:H8))</f>
        <v/>
      </c>
      <c r="T8" s="13">
        <f>IF(COUNT(I8:L8)=0,"",SUM(I8:L8))</f>
        <v/>
      </c>
      <c r="U8" s="13">
        <f>IF(COUNT(M8:N8)=0,"",IF(R8="C1",MAX(N(M8),N(Q8)),N(M8))+IF(R8="C2",MAX(N(N8),N(Q8)),N(N8)))</f>
        <v/>
      </c>
      <c r="V8" s="13">
        <f>IF(A8="","",N(S8)+N(T8)+N(U8))</f>
        <v/>
      </c>
      <c r="W8" s="8">
        <f>IF(A8="","",IF(P8="Đã hỏi","Có","Không"))</f>
        <v/>
      </c>
      <c r="X8" s="14">
        <f>IF(A8="","",IF(COUNT(D8:N8)&lt;11,"Chưa chấm đủ tiêu chí",IF(AND(P8="Đã hỏi",O8&lt;&gt;"Có"),"Nhóm không đủ điều kiện hỏi vớt",IF(AND(P8="Đã hỏi",Q8=""),"Chưa nhập điểm vớt",IF(AND(O8="Có",P8=""),"Chọn trạng thái câu vớt","OK")))))</f>
        <v/>
      </c>
      <c r="Y8" s="11" t="n"/>
    </row>
    <row r="9">
      <c r="A9" s="10" t="n"/>
      <c r="B9" s="11" t="n"/>
      <c r="C9" s="10" t="n"/>
      <c r="D9" s="12" t="n"/>
      <c r="E9" s="12" t="n"/>
      <c r="F9" s="12" t="n"/>
      <c r="G9" s="12" t="n"/>
      <c r="H9" s="12" t="n"/>
      <c r="I9" s="12" t="n"/>
      <c r="J9" s="12" t="n"/>
      <c r="K9" s="12" t="n"/>
      <c r="L9" s="12" t="n"/>
      <c r="M9" s="12" t="n"/>
      <c r="N9" s="12" t="n"/>
      <c r="O9" s="8">
        <f>IF(COUNT(M9:N9)=0,"",IF(OR(AND(ISNUMBER(M9),M9&lt;=0.5),AND(ISNUMBER(N9),N9&lt;=0.5)),"Có","Không"))</f>
        <v/>
      </c>
      <c r="P9" s="10" t="n"/>
      <c r="Q9" s="12" t="n"/>
      <c r="R9" s="8">
        <f>IF(P9="Đã hỏi",IF(MIN(N(M9),N(N9))&lt;=0.5,IF(N(M9)&lt;=N(N9),"C1","C2"),""),"")</f>
        <v/>
      </c>
      <c r="S9" s="13">
        <f>IF(COUNT(D9:H9)=0,"",SUM(D9:H9))</f>
        <v/>
      </c>
      <c r="T9" s="13">
        <f>IF(COUNT(I9:L9)=0,"",SUM(I9:L9))</f>
        <v/>
      </c>
      <c r="U9" s="13">
        <f>IF(COUNT(M9:N9)=0,"",IF(R9="C1",MAX(N(M9),N(Q9)),N(M9))+IF(R9="C2",MAX(N(N9),N(Q9)),N(N9)))</f>
        <v/>
      </c>
      <c r="V9" s="13">
        <f>IF(A9="","",N(S9)+N(T9)+N(U9))</f>
        <v/>
      </c>
      <c r="W9" s="8">
        <f>IF(A9="","",IF(P9="Đã hỏi","Có","Không"))</f>
        <v/>
      </c>
      <c r="X9" s="14">
        <f>IF(A9="","",IF(COUNT(D9:N9)&lt;11,"Chưa chấm đủ tiêu chí",IF(AND(P9="Đã hỏi",O9&lt;&gt;"Có"),"Nhóm không đủ điều kiện hỏi vớt",IF(AND(P9="Đã hỏi",Q9=""),"Chưa nhập điểm vớt",IF(AND(O9="Có",P9=""),"Chọn trạng thái câu vớt","OK")))))</f>
        <v/>
      </c>
      <c r="Y9" s="11" t="n"/>
    </row>
    <row r="10">
      <c r="A10" s="10" t="n"/>
      <c r="B10" s="11" t="n"/>
      <c r="C10" s="10" t="n"/>
      <c r="D10" s="12" t="n"/>
      <c r="E10" s="12" t="n"/>
      <c r="F10" s="12" t="n"/>
      <c r="G10" s="12" t="n"/>
      <c r="H10" s="12" t="n"/>
      <c r="I10" s="12" t="n"/>
      <c r="J10" s="12" t="n"/>
      <c r="K10" s="12" t="n"/>
      <c r="L10" s="12" t="n"/>
      <c r="M10" s="12" t="n"/>
      <c r="N10" s="12" t="n"/>
      <c r="O10" s="8">
        <f>IF(COUNT(M10:N10)=0,"",IF(OR(AND(ISNUMBER(M10),M10&lt;=0.5),AND(ISNUMBER(N10),N10&lt;=0.5)),"Có","Không"))</f>
        <v/>
      </c>
      <c r="P10" s="10" t="n"/>
      <c r="Q10" s="12" t="n"/>
      <c r="R10" s="8">
        <f>IF(P10="Đã hỏi",IF(MIN(N(M10),N(N10))&lt;=0.5,IF(N(M10)&lt;=N(N10),"C1","C2"),""),"")</f>
        <v/>
      </c>
      <c r="S10" s="13">
        <f>IF(COUNT(D10:H10)=0,"",SUM(D10:H10))</f>
        <v/>
      </c>
      <c r="T10" s="13">
        <f>IF(COUNT(I10:L10)=0,"",SUM(I10:L10))</f>
        <v/>
      </c>
      <c r="U10" s="13">
        <f>IF(COUNT(M10:N10)=0,"",IF(R10="C1",MAX(N(M10),N(Q10)),N(M10))+IF(R10="C2",MAX(N(N10),N(Q10)),N(N10)))</f>
        <v/>
      </c>
      <c r="V10" s="13">
        <f>IF(A10="","",N(S10)+N(T10)+N(U10))</f>
        <v/>
      </c>
      <c r="W10" s="8">
        <f>IF(A10="","",IF(P10="Đã hỏi","Có","Không"))</f>
        <v/>
      </c>
      <c r="X10" s="14">
        <f>IF(A10="","",IF(COUNT(D10:N10)&lt;11,"Chưa chấm đủ tiêu chí",IF(AND(P10="Đã hỏi",O10&lt;&gt;"Có"),"Nhóm không đủ điều kiện hỏi vớt",IF(AND(P10="Đã hỏi",Q10=""),"Chưa nhập điểm vớt",IF(AND(O10="Có",P10=""),"Chọn trạng thái câu vớt","OK")))))</f>
        <v/>
      </c>
      <c r="Y10" s="11" t="n"/>
    </row>
    <row r="11">
      <c r="A11" s="10" t="n"/>
      <c r="B11" s="11" t="n"/>
      <c r="C11" s="10" t="n"/>
      <c r="D11" s="12" t="n"/>
      <c r="E11" s="12" t="n"/>
      <c r="F11" s="12" t="n"/>
      <c r="G11" s="12" t="n"/>
      <c r="H11" s="12" t="n"/>
      <c r="I11" s="12" t="n"/>
      <c r="J11" s="12" t="n"/>
      <c r="K11" s="12" t="n"/>
      <c r="L11" s="12" t="n"/>
      <c r="M11" s="12" t="n"/>
      <c r="N11" s="12" t="n"/>
      <c r="O11" s="8">
        <f>IF(COUNT(M11:N11)=0,"",IF(OR(AND(ISNUMBER(M11),M11&lt;=0.5),AND(ISNUMBER(N11),N11&lt;=0.5)),"Có","Không"))</f>
        <v/>
      </c>
      <c r="P11" s="10" t="n"/>
      <c r="Q11" s="12" t="n"/>
      <c r="R11" s="8">
        <f>IF(P11="Đã hỏi",IF(MIN(N(M11),N(N11))&lt;=0.5,IF(N(M11)&lt;=N(N11),"C1","C2"),""),"")</f>
        <v/>
      </c>
      <c r="S11" s="13">
        <f>IF(COUNT(D11:H11)=0,"",SUM(D11:H11))</f>
        <v/>
      </c>
      <c r="T11" s="13">
        <f>IF(COUNT(I11:L11)=0,"",SUM(I11:L11))</f>
        <v/>
      </c>
      <c r="U11" s="13">
        <f>IF(COUNT(M11:N11)=0,"",IF(R11="C1",MAX(N(M11),N(Q11)),N(M11))+IF(R11="C2",MAX(N(N11),N(Q11)),N(N11)))</f>
        <v/>
      </c>
      <c r="V11" s="13">
        <f>IF(A11="","",N(S11)+N(T11)+N(U11))</f>
        <v/>
      </c>
      <c r="W11" s="8">
        <f>IF(A11="","",IF(P11="Đã hỏi","Có","Không"))</f>
        <v/>
      </c>
      <c r="X11" s="14">
        <f>IF(A11="","",IF(COUNT(D11:N11)&lt;11,"Chưa chấm đủ tiêu chí",IF(AND(P11="Đã hỏi",O11&lt;&gt;"Có"),"Nhóm không đủ điều kiện hỏi vớt",IF(AND(P11="Đã hỏi",Q11=""),"Chưa nhập điểm vớt",IF(AND(O11="Có",P11=""),"Chọn trạng thái câu vớt","OK")))))</f>
        <v/>
      </c>
      <c r="Y11" s="11" t="n"/>
    </row>
    <row r="12">
      <c r="A12" s="10" t="n"/>
      <c r="B12" s="11" t="n"/>
      <c r="C12" s="10" t="n"/>
      <c r="D12" s="12" t="n"/>
      <c r="E12" s="12" t="n"/>
      <c r="F12" s="12" t="n"/>
      <c r="G12" s="12" t="n"/>
      <c r="H12" s="12" t="n"/>
      <c r="I12" s="12" t="n"/>
      <c r="J12" s="12" t="n"/>
      <c r="K12" s="12" t="n"/>
      <c r="L12" s="12" t="n"/>
      <c r="M12" s="12" t="n"/>
      <c r="N12" s="12" t="n"/>
      <c r="O12" s="8">
        <f>IF(COUNT(M12:N12)=0,"",IF(OR(AND(ISNUMBER(M12),M12&lt;=0.5),AND(ISNUMBER(N12),N12&lt;=0.5)),"Có","Không"))</f>
        <v/>
      </c>
      <c r="P12" s="10" t="n"/>
      <c r="Q12" s="12" t="n"/>
      <c r="R12" s="8">
        <f>IF(P12="Đã hỏi",IF(MIN(N(M12),N(N12))&lt;=0.5,IF(N(M12)&lt;=N(N12),"C1","C2"),""),"")</f>
        <v/>
      </c>
      <c r="S12" s="13">
        <f>IF(COUNT(D12:H12)=0,"",SUM(D12:H12))</f>
        <v/>
      </c>
      <c r="T12" s="13">
        <f>IF(COUNT(I12:L12)=0,"",SUM(I12:L12))</f>
        <v/>
      </c>
      <c r="U12" s="13">
        <f>IF(COUNT(M12:N12)=0,"",IF(R12="C1",MAX(N(M12),N(Q12)),N(M12))+IF(R12="C2",MAX(N(N12),N(Q12)),N(N12)))</f>
        <v/>
      </c>
      <c r="V12" s="13">
        <f>IF(A12="","",N(S12)+N(T12)+N(U12))</f>
        <v/>
      </c>
      <c r="W12" s="8">
        <f>IF(A12="","",IF(P12="Đã hỏi","Có","Không"))</f>
        <v/>
      </c>
      <c r="X12" s="14">
        <f>IF(A12="","",IF(COUNT(D12:N12)&lt;11,"Chưa chấm đủ tiêu chí",IF(AND(P12="Đã hỏi",O12&lt;&gt;"Có"),"Nhóm không đủ điều kiện hỏi vớt",IF(AND(P12="Đã hỏi",Q12=""),"Chưa nhập điểm vớt",IF(AND(O12="Có",P12=""),"Chọn trạng thái câu vớt","OK")))))</f>
        <v/>
      </c>
      <c r="Y12" s="11" t="n"/>
    </row>
    <row r="13">
      <c r="A13" s="10" t="n"/>
      <c r="B13" s="11" t="n"/>
      <c r="C13" s="10" t="n"/>
      <c r="D13" s="12" t="n"/>
      <c r="E13" s="12" t="n"/>
      <c r="F13" s="12" t="n"/>
      <c r="G13" s="12" t="n"/>
      <c r="H13" s="12" t="n"/>
      <c r="I13" s="12" t="n"/>
      <c r="J13" s="12" t="n"/>
      <c r="K13" s="12" t="n"/>
      <c r="L13" s="12" t="n"/>
      <c r="M13" s="12" t="n"/>
      <c r="N13" s="12" t="n"/>
      <c r="O13" s="8">
        <f>IF(COUNT(M13:N13)=0,"",IF(OR(AND(ISNUMBER(M13),M13&lt;=0.5),AND(ISNUMBER(N13),N13&lt;=0.5)),"Có","Không"))</f>
        <v/>
      </c>
      <c r="P13" s="10" t="n"/>
      <c r="Q13" s="12" t="n"/>
      <c r="R13" s="8">
        <f>IF(P13="Đã hỏi",IF(MIN(N(M13),N(N13))&lt;=0.5,IF(N(M13)&lt;=N(N13),"C1","C2"),""),"")</f>
        <v/>
      </c>
      <c r="S13" s="13">
        <f>IF(COUNT(D13:H13)=0,"",SUM(D13:H13))</f>
        <v/>
      </c>
      <c r="T13" s="13">
        <f>IF(COUNT(I13:L13)=0,"",SUM(I13:L13))</f>
        <v/>
      </c>
      <c r="U13" s="13">
        <f>IF(COUNT(M13:N13)=0,"",IF(R13="C1",MAX(N(M13),N(Q13)),N(M13))+IF(R13="C2",MAX(N(N13),N(Q13)),N(N13)))</f>
        <v/>
      </c>
      <c r="V13" s="13">
        <f>IF(A13="","",N(S13)+N(T13)+N(U13))</f>
        <v/>
      </c>
      <c r="W13" s="8">
        <f>IF(A13="","",IF(P13="Đã hỏi","Có","Không"))</f>
        <v/>
      </c>
      <c r="X13" s="14">
        <f>IF(A13="","",IF(COUNT(D13:N13)&lt;11,"Chưa chấm đủ tiêu chí",IF(AND(P13="Đã hỏi",O13&lt;&gt;"Có"),"Nhóm không đủ điều kiện hỏi vớt",IF(AND(P13="Đã hỏi",Q13=""),"Chưa nhập điểm vớt",IF(AND(O13="Có",P13=""),"Chọn trạng thái câu vớt","OK")))))</f>
        <v/>
      </c>
      <c r="Y13" s="11" t="n"/>
    </row>
    <row r="14">
      <c r="A14" s="10" t="n"/>
      <c r="B14" s="11" t="n"/>
      <c r="C14" s="10" t="n"/>
      <c r="D14" s="12" t="n"/>
      <c r="E14" s="12" t="n"/>
      <c r="F14" s="12" t="n"/>
      <c r="G14" s="12" t="n"/>
      <c r="H14" s="12" t="n"/>
      <c r="I14" s="12" t="n"/>
      <c r="J14" s="12" t="n"/>
      <c r="K14" s="12" t="n"/>
      <c r="L14" s="12" t="n"/>
      <c r="M14" s="12" t="n"/>
      <c r="N14" s="12" t="n"/>
      <c r="O14" s="8">
        <f>IF(COUNT(M14:N14)=0,"",IF(OR(AND(ISNUMBER(M14),M14&lt;=0.5),AND(ISNUMBER(N14),N14&lt;=0.5)),"Có","Không"))</f>
        <v/>
      </c>
      <c r="P14" s="10" t="n"/>
      <c r="Q14" s="12" t="n"/>
      <c r="R14" s="8">
        <f>IF(P14="Đã hỏi",IF(MIN(N(M14),N(N14))&lt;=0.5,IF(N(M14)&lt;=N(N14),"C1","C2"),""),"")</f>
        <v/>
      </c>
      <c r="S14" s="13">
        <f>IF(COUNT(D14:H14)=0,"",SUM(D14:H14))</f>
        <v/>
      </c>
      <c r="T14" s="13">
        <f>IF(COUNT(I14:L14)=0,"",SUM(I14:L14))</f>
        <v/>
      </c>
      <c r="U14" s="13">
        <f>IF(COUNT(M14:N14)=0,"",IF(R14="C1",MAX(N(M14),N(Q14)),N(M14))+IF(R14="C2",MAX(N(N14),N(Q14)),N(N14)))</f>
        <v/>
      </c>
      <c r="V14" s="13">
        <f>IF(A14="","",N(S14)+N(T14)+N(U14))</f>
        <v/>
      </c>
      <c r="W14" s="8">
        <f>IF(A14="","",IF(P14="Đã hỏi","Có","Không"))</f>
        <v/>
      </c>
      <c r="X14" s="14">
        <f>IF(A14="","",IF(COUNT(D14:N14)&lt;11,"Chưa chấm đủ tiêu chí",IF(AND(P14="Đã hỏi",O14&lt;&gt;"Có"),"Nhóm không đủ điều kiện hỏi vớt",IF(AND(P14="Đã hỏi",Q14=""),"Chưa nhập điểm vớt",IF(AND(O14="Có",P14=""),"Chọn trạng thái câu vớt","OK")))))</f>
        <v/>
      </c>
      <c r="Y14" s="11" t="n"/>
    </row>
    <row r="15">
      <c r="A15" s="10" t="n"/>
      <c r="B15" s="11" t="n"/>
      <c r="C15" s="10" t="n"/>
      <c r="D15" s="12" t="n"/>
      <c r="E15" s="12" t="n"/>
      <c r="F15" s="12" t="n"/>
      <c r="G15" s="12" t="n"/>
      <c r="H15" s="12" t="n"/>
      <c r="I15" s="12" t="n"/>
      <c r="J15" s="12" t="n"/>
      <c r="K15" s="12" t="n"/>
      <c r="L15" s="12" t="n"/>
      <c r="M15" s="12" t="n"/>
      <c r="N15" s="12" t="n"/>
      <c r="O15" s="8">
        <f>IF(COUNT(M15:N15)=0,"",IF(OR(AND(ISNUMBER(M15),M15&lt;=0.5),AND(ISNUMBER(N15),N15&lt;=0.5)),"Có","Không"))</f>
        <v/>
      </c>
      <c r="P15" s="10" t="n"/>
      <c r="Q15" s="12" t="n"/>
      <c r="R15" s="8">
        <f>IF(P15="Đã hỏi",IF(MIN(N(M15),N(N15))&lt;=0.5,IF(N(M15)&lt;=N(N15),"C1","C2"),""),"")</f>
        <v/>
      </c>
      <c r="S15" s="13">
        <f>IF(COUNT(D15:H15)=0,"",SUM(D15:H15))</f>
        <v/>
      </c>
      <c r="T15" s="13">
        <f>IF(COUNT(I15:L15)=0,"",SUM(I15:L15))</f>
        <v/>
      </c>
      <c r="U15" s="13">
        <f>IF(COUNT(M15:N15)=0,"",IF(R15="C1",MAX(N(M15),N(Q15)),N(M15))+IF(R15="C2",MAX(N(N15),N(Q15)),N(N15)))</f>
        <v/>
      </c>
      <c r="V15" s="13">
        <f>IF(A15="","",N(S15)+N(T15)+N(U15))</f>
        <v/>
      </c>
      <c r="W15" s="8">
        <f>IF(A15="","",IF(P15="Đã hỏi","Có","Không"))</f>
        <v/>
      </c>
      <c r="X15" s="14">
        <f>IF(A15="","",IF(COUNT(D15:N15)&lt;11,"Chưa chấm đủ tiêu chí",IF(AND(P15="Đã hỏi",O15&lt;&gt;"Có"),"Nhóm không đủ điều kiện hỏi vớt",IF(AND(P15="Đã hỏi",Q15=""),"Chưa nhập điểm vớt",IF(AND(O15="Có",P15=""),"Chọn trạng thái câu vớt","OK")))))</f>
        <v/>
      </c>
      <c r="Y15" s="11" t="n"/>
    </row>
    <row r="16">
      <c r="A16" s="10" t="n"/>
      <c r="B16" s="11" t="n"/>
      <c r="C16" s="10" t="n"/>
      <c r="D16" s="12" t="n"/>
      <c r="E16" s="12" t="n"/>
      <c r="F16" s="12" t="n"/>
      <c r="G16" s="12" t="n"/>
      <c r="H16" s="12" t="n"/>
      <c r="I16" s="12" t="n"/>
      <c r="J16" s="12" t="n"/>
      <c r="K16" s="12" t="n"/>
      <c r="L16" s="12" t="n"/>
      <c r="M16" s="12" t="n"/>
      <c r="N16" s="12" t="n"/>
      <c r="O16" s="8">
        <f>IF(COUNT(M16:N16)=0,"",IF(OR(AND(ISNUMBER(M16),M16&lt;=0.5),AND(ISNUMBER(N16),N16&lt;=0.5)),"Có","Không"))</f>
        <v/>
      </c>
      <c r="P16" s="10" t="n"/>
      <c r="Q16" s="12" t="n"/>
      <c r="R16" s="8">
        <f>IF(P16="Đã hỏi",IF(MIN(N(M16),N(N16))&lt;=0.5,IF(N(M16)&lt;=N(N16),"C1","C2"),""),"")</f>
        <v/>
      </c>
      <c r="S16" s="13">
        <f>IF(COUNT(D16:H16)=0,"",SUM(D16:H16))</f>
        <v/>
      </c>
      <c r="T16" s="13">
        <f>IF(COUNT(I16:L16)=0,"",SUM(I16:L16))</f>
        <v/>
      </c>
      <c r="U16" s="13">
        <f>IF(COUNT(M16:N16)=0,"",IF(R16="C1",MAX(N(M16),N(Q16)),N(M16))+IF(R16="C2",MAX(N(N16),N(Q16)),N(N16)))</f>
        <v/>
      </c>
      <c r="V16" s="13">
        <f>IF(A16="","",N(S16)+N(T16)+N(U16))</f>
        <v/>
      </c>
      <c r="W16" s="8">
        <f>IF(A16="","",IF(P16="Đã hỏi","Có","Không"))</f>
        <v/>
      </c>
      <c r="X16" s="14">
        <f>IF(A16="","",IF(COUNT(D16:N16)&lt;11,"Chưa chấm đủ tiêu chí",IF(AND(P16="Đã hỏi",O16&lt;&gt;"Có"),"Nhóm không đủ điều kiện hỏi vớt",IF(AND(P16="Đã hỏi",Q16=""),"Chưa nhập điểm vớt",IF(AND(O16="Có",P16=""),"Chọn trạng thái câu vớt","OK")))))</f>
        <v/>
      </c>
      <c r="Y16" s="11" t="n"/>
    </row>
    <row r="17">
      <c r="A17" s="10" t="n"/>
      <c r="B17" s="11" t="n"/>
      <c r="C17" s="10" t="n"/>
      <c r="D17" s="12" t="n"/>
      <c r="E17" s="12" t="n"/>
      <c r="F17" s="12" t="n"/>
      <c r="G17" s="12" t="n"/>
      <c r="H17" s="12" t="n"/>
      <c r="I17" s="12" t="n"/>
      <c r="J17" s="12" t="n"/>
      <c r="K17" s="12" t="n"/>
      <c r="L17" s="12" t="n"/>
      <c r="M17" s="12" t="n"/>
      <c r="N17" s="12" t="n"/>
      <c r="O17" s="8">
        <f>IF(COUNT(M17:N17)=0,"",IF(OR(AND(ISNUMBER(M17),M17&lt;=0.5),AND(ISNUMBER(N17),N17&lt;=0.5)),"Có","Không"))</f>
        <v/>
      </c>
      <c r="P17" s="10" t="n"/>
      <c r="Q17" s="12" t="n"/>
      <c r="R17" s="8">
        <f>IF(P17="Đã hỏi",IF(MIN(N(M17),N(N17))&lt;=0.5,IF(N(M17)&lt;=N(N17),"C1","C2"),""),"")</f>
        <v/>
      </c>
      <c r="S17" s="13">
        <f>IF(COUNT(D17:H17)=0,"",SUM(D17:H17))</f>
        <v/>
      </c>
      <c r="T17" s="13">
        <f>IF(COUNT(I17:L17)=0,"",SUM(I17:L17))</f>
        <v/>
      </c>
      <c r="U17" s="13">
        <f>IF(COUNT(M17:N17)=0,"",IF(R17="C1",MAX(N(M17),N(Q17)),N(M17))+IF(R17="C2",MAX(N(N17),N(Q17)),N(N17)))</f>
        <v/>
      </c>
      <c r="V17" s="13">
        <f>IF(A17="","",N(S17)+N(T17)+N(U17))</f>
        <v/>
      </c>
      <c r="W17" s="8">
        <f>IF(A17="","",IF(P17="Đã hỏi","Có","Không"))</f>
        <v/>
      </c>
      <c r="X17" s="14">
        <f>IF(A17="","",IF(COUNT(D17:N17)&lt;11,"Chưa chấm đủ tiêu chí",IF(AND(P17="Đã hỏi",O17&lt;&gt;"Có"),"Nhóm không đủ điều kiện hỏi vớt",IF(AND(P17="Đã hỏi",Q17=""),"Chưa nhập điểm vớt",IF(AND(O17="Có",P17=""),"Chọn trạng thái câu vớt","OK")))))</f>
        <v/>
      </c>
      <c r="Y17" s="11" t="n"/>
    </row>
    <row r="18">
      <c r="A18" s="10" t="n"/>
      <c r="B18" s="11" t="n"/>
      <c r="C18" s="10" t="n"/>
      <c r="D18" s="12" t="n"/>
      <c r="E18" s="12" t="n"/>
      <c r="F18" s="12" t="n"/>
      <c r="G18" s="12" t="n"/>
      <c r="H18" s="12" t="n"/>
      <c r="I18" s="12" t="n"/>
      <c r="J18" s="12" t="n"/>
      <c r="K18" s="12" t="n"/>
      <c r="L18" s="12" t="n"/>
      <c r="M18" s="12" t="n"/>
      <c r="N18" s="12" t="n"/>
      <c r="O18" s="8">
        <f>IF(COUNT(M18:N18)=0,"",IF(OR(AND(ISNUMBER(M18),M18&lt;=0.5),AND(ISNUMBER(N18),N18&lt;=0.5)),"Có","Không"))</f>
        <v/>
      </c>
      <c r="P18" s="10" t="n"/>
      <c r="Q18" s="12" t="n"/>
      <c r="R18" s="8">
        <f>IF(P18="Đã hỏi",IF(MIN(N(M18),N(N18))&lt;=0.5,IF(N(M18)&lt;=N(N18),"C1","C2"),""),"")</f>
        <v/>
      </c>
      <c r="S18" s="13">
        <f>IF(COUNT(D18:H18)=0,"",SUM(D18:H18))</f>
        <v/>
      </c>
      <c r="T18" s="13">
        <f>IF(COUNT(I18:L18)=0,"",SUM(I18:L18))</f>
        <v/>
      </c>
      <c r="U18" s="13">
        <f>IF(COUNT(M18:N18)=0,"",IF(R18="C1",MAX(N(M18),N(Q18)),N(M18))+IF(R18="C2",MAX(N(N18),N(Q18)),N(N18)))</f>
        <v/>
      </c>
      <c r="V18" s="13">
        <f>IF(A18="","",N(S18)+N(T18)+N(U18))</f>
        <v/>
      </c>
      <c r="W18" s="8">
        <f>IF(A18="","",IF(P18="Đã hỏi","Có","Không"))</f>
        <v/>
      </c>
      <c r="X18" s="14">
        <f>IF(A18="","",IF(COUNT(D18:N18)&lt;11,"Chưa chấm đủ tiêu chí",IF(AND(P18="Đã hỏi",O18&lt;&gt;"Có"),"Nhóm không đủ điều kiện hỏi vớt",IF(AND(P18="Đã hỏi",Q18=""),"Chưa nhập điểm vớt",IF(AND(O18="Có",P18=""),"Chọn trạng thái câu vớt","OK")))))</f>
        <v/>
      </c>
      <c r="Y18" s="11" t="n"/>
    </row>
    <row r="19">
      <c r="A19" s="10" t="n"/>
      <c r="B19" s="11" t="n"/>
      <c r="C19" s="10" t="n"/>
      <c r="D19" s="12" t="n"/>
      <c r="E19" s="12" t="n"/>
      <c r="F19" s="12" t="n"/>
      <c r="G19" s="12" t="n"/>
      <c r="H19" s="12" t="n"/>
      <c r="I19" s="12" t="n"/>
      <c r="J19" s="12" t="n"/>
      <c r="K19" s="12" t="n"/>
      <c r="L19" s="12" t="n"/>
      <c r="M19" s="12" t="n"/>
      <c r="N19" s="12" t="n"/>
      <c r="O19" s="8">
        <f>IF(COUNT(M19:N19)=0,"",IF(OR(AND(ISNUMBER(M19),M19&lt;=0.5),AND(ISNUMBER(N19),N19&lt;=0.5)),"Có","Không"))</f>
        <v/>
      </c>
      <c r="P19" s="10" t="n"/>
      <c r="Q19" s="12" t="n"/>
      <c r="R19" s="8">
        <f>IF(P19="Đã hỏi",IF(MIN(N(M19),N(N19))&lt;=0.5,IF(N(M19)&lt;=N(N19),"C1","C2"),""),"")</f>
        <v/>
      </c>
      <c r="S19" s="13">
        <f>IF(COUNT(D19:H19)=0,"",SUM(D19:H19))</f>
        <v/>
      </c>
      <c r="T19" s="13">
        <f>IF(COUNT(I19:L19)=0,"",SUM(I19:L19))</f>
        <v/>
      </c>
      <c r="U19" s="13">
        <f>IF(COUNT(M19:N19)=0,"",IF(R19="C1",MAX(N(M19),N(Q19)),N(M19))+IF(R19="C2",MAX(N(N19),N(Q19)),N(N19)))</f>
        <v/>
      </c>
      <c r="V19" s="13">
        <f>IF(A19="","",N(S19)+N(T19)+N(U19))</f>
        <v/>
      </c>
      <c r="W19" s="8">
        <f>IF(A19="","",IF(P19="Đã hỏi","Có","Không"))</f>
        <v/>
      </c>
      <c r="X19" s="14">
        <f>IF(A19="","",IF(COUNT(D19:N19)&lt;11,"Chưa chấm đủ tiêu chí",IF(AND(P19="Đã hỏi",O19&lt;&gt;"Có"),"Nhóm không đủ điều kiện hỏi vớt",IF(AND(P19="Đã hỏi",Q19=""),"Chưa nhập điểm vớt",IF(AND(O19="Có",P19=""),"Chọn trạng thái câu vớt","OK")))))</f>
        <v/>
      </c>
      <c r="Y19" s="11" t="n"/>
    </row>
    <row r="20">
      <c r="A20" s="10" t="n"/>
      <c r="B20" s="11" t="n"/>
      <c r="C20" s="10" t="n"/>
      <c r="D20" s="12" t="n"/>
      <c r="E20" s="12" t="n"/>
      <c r="F20" s="12" t="n"/>
      <c r="G20" s="12" t="n"/>
      <c r="H20" s="12" t="n"/>
      <c r="I20" s="12" t="n"/>
      <c r="J20" s="12" t="n"/>
      <c r="K20" s="12" t="n"/>
      <c r="L20" s="12" t="n"/>
      <c r="M20" s="12" t="n"/>
      <c r="N20" s="12" t="n"/>
      <c r="O20" s="8">
        <f>IF(COUNT(M20:N20)=0,"",IF(OR(AND(ISNUMBER(M20),M20&lt;=0.5),AND(ISNUMBER(N20),N20&lt;=0.5)),"Có","Không"))</f>
        <v/>
      </c>
      <c r="P20" s="10" t="n"/>
      <c r="Q20" s="12" t="n"/>
      <c r="R20" s="8">
        <f>IF(P20="Đã hỏi",IF(MIN(N(M20),N(N20))&lt;=0.5,IF(N(M20)&lt;=N(N20),"C1","C2"),""),"")</f>
        <v/>
      </c>
      <c r="S20" s="13">
        <f>IF(COUNT(D20:H20)=0,"",SUM(D20:H20))</f>
        <v/>
      </c>
      <c r="T20" s="13">
        <f>IF(COUNT(I20:L20)=0,"",SUM(I20:L20))</f>
        <v/>
      </c>
      <c r="U20" s="13">
        <f>IF(COUNT(M20:N20)=0,"",IF(R20="C1",MAX(N(M20),N(Q20)),N(M20))+IF(R20="C2",MAX(N(N20),N(Q20)),N(N20)))</f>
        <v/>
      </c>
      <c r="V20" s="13">
        <f>IF(A20="","",N(S20)+N(T20)+N(U20))</f>
        <v/>
      </c>
      <c r="W20" s="8">
        <f>IF(A20="","",IF(P20="Đã hỏi","Có","Không"))</f>
        <v/>
      </c>
      <c r="X20" s="14">
        <f>IF(A20="","",IF(COUNT(D20:N20)&lt;11,"Chưa chấm đủ tiêu chí",IF(AND(P20="Đã hỏi",O20&lt;&gt;"Có"),"Nhóm không đủ điều kiện hỏi vớt",IF(AND(P20="Đã hỏi",Q20=""),"Chưa nhập điểm vớt",IF(AND(O20="Có",P20=""),"Chọn trạng thái câu vớt","OK")))))</f>
        <v/>
      </c>
      <c r="Y20" s="11" t="n"/>
    </row>
    <row r="21">
      <c r="A21" s="10" t="n"/>
      <c r="B21" s="11" t="n"/>
      <c r="C21" s="10" t="n"/>
      <c r="D21" s="12" t="n"/>
      <c r="E21" s="12" t="n"/>
      <c r="F21" s="12" t="n"/>
      <c r="G21" s="12" t="n"/>
      <c r="H21" s="12" t="n"/>
      <c r="I21" s="12" t="n"/>
      <c r="J21" s="12" t="n"/>
      <c r="K21" s="12" t="n"/>
      <c r="L21" s="12" t="n"/>
      <c r="M21" s="12" t="n"/>
      <c r="N21" s="12" t="n"/>
      <c r="O21" s="8">
        <f>IF(COUNT(M21:N21)=0,"",IF(OR(AND(ISNUMBER(M21),M21&lt;=0.5),AND(ISNUMBER(N21),N21&lt;=0.5)),"Có","Không"))</f>
        <v/>
      </c>
      <c r="P21" s="10" t="n"/>
      <c r="Q21" s="12" t="n"/>
      <c r="R21" s="8">
        <f>IF(P21="Đã hỏi",IF(MIN(N(M21),N(N21))&lt;=0.5,IF(N(M21)&lt;=N(N21),"C1","C2"),""),"")</f>
        <v/>
      </c>
      <c r="S21" s="13">
        <f>IF(COUNT(D21:H21)=0,"",SUM(D21:H21))</f>
        <v/>
      </c>
      <c r="T21" s="13">
        <f>IF(COUNT(I21:L21)=0,"",SUM(I21:L21))</f>
        <v/>
      </c>
      <c r="U21" s="13">
        <f>IF(COUNT(M21:N21)=0,"",IF(R21="C1",MAX(N(M21),N(Q21)),N(M21))+IF(R21="C2",MAX(N(N21),N(Q21)),N(N21)))</f>
        <v/>
      </c>
      <c r="V21" s="13">
        <f>IF(A21="","",N(S21)+N(T21)+N(U21))</f>
        <v/>
      </c>
      <c r="W21" s="8">
        <f>IF(A21="","",IF(P21="Đã hỏi","Có","Không"))</f>
        <v/>
      </c>
      <c r="X21" s="14">
        <f>IF(A21="","",IF(COUNT(D21:N21)&lt;11,"Chưa chấm đủ tiêu chí",IF(AND(P21="Đã hỏi",O21&lt;&gt;"Có"),"Nhóm không đủ điều kiện hỏi vớt",IF(AND(P21="Đã hỏi",Q21=""),"Chưa nhập điểm vớt",IF(AND(O21="Có",P21=""),"Chọn trạng thái câu vớt","OK")))))</f>
        <v/>
      </c>
      <c r="Y21" s="11" t="n"/>
    </row>
    <row r="22">
      <c r="A22" s="10" t="n"/>
      <c r="B22" s="11" t="n"/>
      <c r="C22" s="10" t="n"/>
      <c r="D22" s="12" t="n"/>
      <c r="E22" s="12" t="n"/>
      <c r="F22" s="12" t="n"/>
      <c r="G22" s="12" t="n"/>
      <c r="H22" s="12" t="n"/>
      <c r="I22" s="12" t="n"/>
      <c r="J22" s="12" t="n"/>
      <c r="K22" s="12" t="n"/>
      <c r="L22" s="12" t="n"/>
      <c r="M22" s="12" t="n"/>
      <c r="N22" s="12" t="n"/>
      <c r="O22" s="8">
        <f>IF(COUNT(M22:N22)=0,"",IF(OR(AND(ISNUMBER(M22),M22&lt;=0.5),AND(ISNUMBER(N22),N22&lt;=0.5)),"Có","Không"))</f>
        <v/>
      </c>
      <c r="P22" s="10" t="n"/>
      <c r="Q22" s="12" t="n"/>
      <c r="R22" s="8">
        <f>IF(P22="Đã hỏi",IF(MIN(N(M22),N(N22))&lt;=0.5,IF(N(M22)&lt;=N(N22),"C1","C2"),""),"")</f>
        <v/>
      </c>
      <c r="S22" s="13">
        <f>IF(COUNT(D22:H22)=0,"",SUM(D22:H22))</f>
        <v/>
      </c>
      <c r="T22" s="13">
        <f>IF(COUNT(I22:L22)=0,"",SUM(I22:L22))</f>
        <v/>
      </c>
      <c r="U22" s="13">
        <f>IF(COUNT(M22:N22)=0,"",IF(R22="C1",MAX(N(M22),N(Q22)),N(M22))+IF(R22="C2",MAX(N(N22),N(Q22)),N(N22)))</f>
        <v/>
      </c>
      <c r="V22" s="13">
        <f>IF(A22="","",N(S22)+N(T22)+N(U22))</f>
        <v/>
      </c>
      <c r="W22" s="8">
        <f>IF(A22="","",IF(P22="Đã hỏi","Có","Không"))</f>
        <v/>
      </c>
      <c r="X22" s="14">
        <f>IF(A22="","",IF(COUNT(D22:N22)&lt;11,"Chưa chấm đủ tiêu chí",IF(AND(P22="Đã hỏi",O22&lt;&gt;"Có"),"Nhóm không đủ điều kiện hỏi vớt",IF(AND(P22="Đã hỏi",Q22=""),"Chưa nhập điểm vớt",IF(AND(O22="Có",P22=""),"Chọn trạng thái câu vớt","OK")))))</f>
        <v/>
      </c>
      <c r="Y22" s="11" t="n"/>
    </row>
    <row r="23">
      <c r="A23" s="10" t="n"/>
      <c r="B23" s="11" t="n"/>
      <c r="C23" s="10" t="n"/>
      <c r="D23" s="12" t="n"/>
      <c r="E23" s="12" t="n"/>
      <c r="F23" s="12" t="n"/>
      <c r="G23" s="12" t="n"/>
      <c r="H23" s="12" t="n"/>
      <c r="I23" s="12" t="n"/>
      <c r="J23" s="12" t="n"/>
      <c r="K23" s="12" t="n"/>
      <c r="L23" s="12" t="n"/>
      <c r="M23" s="12" t="n"/>
      <c r="N23" s="12" t="n"/>
      <c r="O23" s="8">
        <f>IF(COUNT(M23:N23)=0,"",IF(OR(AND(ISNUMBER(M23),M23&lt;=0.5),AND(ISNUMBER(N23),N23&lt;=0.5)),"Có","Không"))</f>
        <v/>
      </c>
      <c r="P23" s="10" t="n"/>
      <c r="Q23" s="12" t="n"/>
      <c r="R23" s="8">
        <f>IF(P23="Đã hỏi",IF(MIN(N(M23),N(N23))&lt;=0.5,IF(N(M23)&lt;=N(N23),"C1","C2"),""),"")</f>
        <v/>
      </c>
      <c r="S23" s="13">
        <f>IF(COUNT(D23:H23)=0,"",SUM(D23:H23))</f>
        <v/>
      </c>
      <c r="T23" s="13">
        <f>IF(COUNT(I23:L23)=0,"",SUM(I23:L23))</f>
        <v/>
      </c>
      <c r="U23" s="13">
        <f>IF(COUNT(M23:N23)=0,"",IF(R23="C1",MAX(N(M23),N(Q23)),N(M23))+IF(R23="C2",MAX(N(N23),N(Q23)),N(N23)))</f>
        <v/>
      </c>
      <c r="V23" s="13">
        <f>IF(A23="","",N(S23)+N(T23)+N(U23))</f>
        <v/>
      </c>
      <c r="W23" s="8">
        <f>IF(A23="","",IF(P23="Đã hỏi","Có","Không"))</f>
        <v/>
      </c>
      <c r="X23" s="14">
        <f>IF(A23="","",IF(COUNT(D23:N23)&lt;11,"Chưa chấm đủ tiêu chí",IF(AND(P23="Đã hỏi",O23&lt;&gt;"Có"),"Nhóm không đủ điều kiện hỏi vớt",IF(AND(P23="Đã hỏi",Q23=""),"Chưa nhập điểm vớt",IF(AND(O23="Có",P23=""),"Chọn trạng thái câu vớt","OK")))))</f>
        <v/>
      </c>
      <c r="Y23" s="11" t="n"/>
    </row>
    <row r="24">
      <c r="A24" s="10" t="n"/>
      <c r="B24" s="11" t="n"/>
      <c r="C24" s="10" t="n"/>
      <c r="D24" s="12" t="n"/>
      <c r="E24" s="12" t="n"/>
      <c r="F24" s="12" t="n"/>
      <c r="G24" s="12" t="n"/>
      <c r="H24" s="12" t="n"/>
      <c r="I24" s="12" t="n"/>
      <c r="J24" s="12" t="n"/>
      <c r="K24" s="12" t="n"/>
      <c r="L24" s="12" t="n"/>
      <c r="M24" s="12" t="n"/>
      <c r="N24" s="12" t="n"/>
      <c r="O24" s="8">
        <f>IF(COUNT(M24:N24)=0,"",IF(OR(AND(ISNUMBER(M24),M24&lt;=0.5),AND(ISNUMBER(N24),N24&lt;=0.5)),"Có","Không"))</f>
        <v/>
      </c>
      <c r="P24" s="10" t="n"/>
      <c r="Q24" s="12" t="n"/>
      <c r="R24" s="8">
        <f>IF(P24="Đã hỏi",IF(MIN(N(M24),N(N24))&lt;=0.5,IF(N(M24)&lt;=N(N24),"C1","C2"),""),"")</f>
        <v/>
      </c>
      <c r="S24" s="13">
        <f>IF(COUNT(D24:H24)=0,"",SUM(D24:H24))</f>
        <v/>
      </c>
      <c r="T24" s="13">
        <f>IF(COUNT(I24:L24)=0,"",SUM(I24:L24))</f>
        <v/>
      </c>
      <c r="U24" s="13">
        <f>IF(COUNT(M24:N24)=0,"",IF(R24="C1",MAX(N(M24),N(Q24)),N(M24))+IF(R24="C2",MAX(N(N24),N(Q24)),N(N24)))</f>
        <v/>
      </c>
      <c r="V24" s="13">
        <f>IF(A24="","",N(S24)+N(T24)+N(U24))</f>
        <v/>
      </c>
      <c r="W24" s="8">
        <f>IF(A24="","",IF(P24="Đã hỏi","Có","Không"))</f>
        <v/>
      </c>
      <c r="X24" s="14">
        <f>IF(A24="","",IF(COUNT(D24:N24)&lt;11,"Chưa chấm đủ tiêu chí",IF(AND(P24="Đã hỏi",O24&lt;&gt;"Có"),"Nhóm không đủ điều kiện hỏi vớt",IF(AND(P24="Đã hỏi",Q24=""),"Chưa nhập điểm vớt",IF(AND(O24="Có",P24=""),"Chọn trạng thái câu vớt","OK")))))</f>
        <v/>
      </c>
      <c r="Y24" s="11" t="n"/>
    </row>
    <row r="25">
      <c r="A25" s="10" t="n"/>
      <c r="B25" s="11" t="n"/>
      <c r="C25" s="10" t="n"/>
      <c r="D25" s="12" t="n"/>
      <c r="E25" s="12" t="n"/>
      <c r="F25" s="12" t="n"/>
      <c r="G25" s="12" t="n"/>
      <c r="H25" s="12" t="n"/>
      <c r="I25" s="12" t="n"/>
      <c r="J25" s="12" t="n"/>
      <c r="K25" s="12" t="n"/>
      <c r="L25" s="12" t="n"/>
      <c r="M25" s="12" t="n"/>
      <c r="N25" s="12" t="n"/>
      <c r="O25" s="8">
        <f>IF(COUNT(M25:N25)=0,"",IF(OR(AND(ISNUMBER(M25),M25&lt;=0.5),AND(ISNUMBER(N25),N25&lt;=0.5)),"Có","Không"))</f>
        <v/>
      </c>
      <c r="P25" s="10" t="n"/>
      <c r="Q25" s="12" t="n"/>
      <c r="R25" s="8">
        <f>IF(P25="Đã hỏi",IF(MIN(N(M25),N(N25))&lt;=0.5,IF(N(M25)&lt;=N(N25),"C1","C2"),""),"")</f>
        <v/>
      </c>
      <c r="S25" s="13">
        <f>IF(COUNT(D25:H25)=0,"",SUM(D25:H25))</f>
        <v/>
      </c>
      <c r="T25" s="13">
        <f>IF(COUNT(I25:L25)=0,"",SUM(I25:L25))</f>
        <v/>
      </c>
      <c r="U25" s="13">
        <f>IF(COUNT(M25:N25)=0,"",IF(R25="C1",MAX(N(M25),N(Q25)),N(M25))+IF(R25="C2",MAX(N(N25),N(Q25)),N(N25)))</f>
        <v/>
      </c>
      <c r="V25" s="13">
        <f>IF(A25="","",N(S25)+N(T25)+N(U25))</f>
        <v/>
      </c>
      <c r="W25" s="8">
        <f>IF(A25="","",IF(P25="Đã hỏi","Có","Không"))</f>
        <v/>
      </c>
      <c r="X25" s="14">
        <f>IF(A25="","",IF(COUNT(D25:N25)&lt;11,"Chưa chấm đủ tiêu chí",IF(AND(P25="Đã hỏi",O25&lt;&gt;"Có"),"Nhóm không đủ điều kiện hỏi vớt",IF(AND(P25="Đã hỏi",Q25=""),"Chưa nhập điểm vớt",IF(AND(O25="Có",P25=""),"Chọn trạng thái câu vớt","OK")))))</f>
        <v/>
      </c>
      <c r="Y25" s="11" t="n"/>
    </row>
    <row r="26">
      <c r="A26" s="10" t="n"/>
      <c r="B26" s="11" t="n"/>
      <c r="C26" s="10" t="n"/>
      <c r="D26" s="12" t="n"/>
      <c r="E26" s="12" t="n"/>
      <c r="F26" s="12" t="n"/>
      <c r="G26" s="12" t="n"/>
      <c r="H26" s="12" t="n"/>
      <c r="I26" s="12" t="n"/>
      <c r="J26" s="12" t="n"/>
      <c r="K26" s="12" t="n"/>
      <c r="L26" s="12" t="n"/>
      <c r="M26" s="12" t="n"/>
      <c r="N26" s="12" t="n"/>
      <c r="O26" s="8">
        <f>IF(COUNT(M26:N26)=0,"",IF(OR(AND(ISNUMBER(M26),M26&lt;=0.5),AND(ISNUMBER(N26),N26&lt;=0.5)),"Có","Không"))</f>
        <v/>
      </c>
      <c r="P26" s="10" t="n"/>
      <c r="Q26" s="12" t="n"/>
      <c r="R26" s="8">
        <f>IF(P26="Đã hỏi",IF(MIN(N(M26),N(N26))&lt;=0.5,IF(N(M26)&lt;=N(N26),"C1","C2"),""),"")</f>
        <v/>
      </c>
      <c r="S26" s="13">
        <f>IF(COUNT(D26:H26)=0,"",SUM(D26:H26))</f>
        <v/>
      </c>
      <c r="T26" s="13">
        <f>IF(COUNT(I26:L26)=0,"",SUM(I26:L26))</f>
        <v/>
      </c>
      <c r="U26" s="13">
        <f>IF(COUNT(M26:N26)=0,"",IF(R26="C1",MAX(N(M26),N(Q26)),N(M26))+IF(R26="C2",MAX(N(N26),N(Q26)),N(N26)))</f>
        <v/>
      </c>
      <c r="V26" s="13">
        <f>IF(A26="","",N(S26)+N(T26)+N(U26))</f>
        <v/>
      </c>
      <c r="W26" s="8">
        <f>IF(A26="","",IF(P26="Đã hỏi","Có","Không"))</f>
        <v/>
      </c>
      <c r="X26" s="14">
        <f>IF(A26="","",IF(COUNT(D26:N26)&lt;11,"Chưa chấm đủ tiêu chí",IF(AND(P26="Đã hỏi",O26&lt;&gt;"Có"),"Nhóm không đủ điều kiện hỏi vớt",IF(AND(P26="Đã hỏi",Q26=""),"Chưa nhập điểm vớt",IF(AND(O26="Có",P26=""),"Chọn trạng thái câu vớt","OK")))))</f>
        <v/>
      </c>
      <c r="Y26" s="11" t="n"/>
    </row>
    <row r="27">
      <c r="A27" s="10" t="n"/>
      <c r="B27" s="11" t="n"/>
      <c r="C27" s="10" t="n"/>
      <c r="D27" s="12" t="n"/>
      <c r="E27" s="12" t="n"/>
      <c r="F27" s="12" t="n"/>
      <c r="G27" s="12" t="n"/>
      <c r="H27" s="12" t="n"/>
      <c r="I27" s="12" t="n"/>
      <c r="J27" s="12" t="n"/>
      <c r="K27" s="12" t="n"/>
      <c r="L27" s="12" t="n"/>
      <c r="M27" s="12" t="n"/>
      <c r="N27" s="12" t="n"/>
      <c r="O27" s="8">
        <f>IF(COUNT(M27:N27)=0,"",IF(OR(AND(ISNUMBER(M27),M27&lt;=0.5),AND(ISNUMBER(N27),N27&lt;=0.5)),"Có","Không"))</f>
        <v/>
      </c>
      <c r="P27" s="10" t="n"/>
      <c r="Q27" s="12" t="n"/>
      <c r="R27" s="8">
        <f>IF(P27="Đã hỏi",IF(MIN(N(M27),N(N27))&lt;=0.5,IF(N(M27)&lt;=N(N27),"C1","C2"),""),"")</f>
        <v/>
      </c>
      <c r="S27" s="13">
        <f>IF(COUNT(D27:H27)=0,"",SUM(D27:H27))</f>
        <v/>
      </c>
      <c r="T27" s="13">
        <f>IF(COUNT(I27:L27)=0,"",SUM(I27:L27))</f>
        <v/>
      </c>
      <c r="U27" s="13">
        <f>IF(COUNT(M27:N27)=0,"",IF(R27="C1",MAX(N(M27),N(Q27)),N(M27))+IF(R27="C2",MAX(N(N27),N(Q27)),N(N27)))</f>
        <v/>
      </c>
      <c r="V27" s="13">
        <f>IF(A27="","",N(S27)+N(T27)+N(U27))</f>
        <v/>
      </c>
      <c r="W27" s="8">
        <f>IF(A27="","",IF(P27="Đã hỏi","Có","Không"))</f>
        <v/>
      </c>
      <c r="X27" s="14">
        <f>IF(A27="","",IF(COUNT(D27:N27)&lt;11,"Chưa chấm đủ tiêu chí",IF(AND(P27="Đã hỏi",O27&lt;&gt;"Có"),"Nhóm không đủ điều kiện hỏi vớt",IF(AND(P27="Đã hỏi",Q27=""),"Chưa nhập điểm vớt",IF(AND(O27="Có",P27=""),"Chọn trạng thái câu vớt","OK")))))</f>
        <v/>
      </c>
      <c r="Y27" s="11" t="n"/>
    </row>
    <row r="28">
      <c r="A28" s="10" t="n"/>
      <c r="B28" s="11" t="n"/>
      <c r="C28" s="10" t="n"/>
      <c r="D28" s="12" t="n"/>
      <c r="E28" s="12" t="n"/>
      <c r="F28" s="12" t="n"/>
      <c r="G28" s="12" t="n"/>
      <c r="H28" s="12" t="n"/>
      <c r="I28" s="12" t="n"/>
      <c r="J28" s="12" t="n"/>
      <c r="K28" s="12" t="n"/>
      <c r="L28" s="12" t="n"/>
      <c r="M28" s="12" t="n"/>
      <c r="N28" s="12" t="n"/>
      <c r="O28" s="8">
        <f>IF(COUNT(M28:N28)=0,"",IF(OR(AND(ISNUMBER(M28),M28&lt;=0.5),AND(ISNUMBER(N28),N28&lt;=0.5)),"Có","Không"))</f>
        <v/>
      </c>
      <c r="P28" s="10" t="n"/>
      <c r="Q28" s="12" t="n"/>
      <c r="R28" s="8">
        <f>IF(P28="Đã hỏi",IF(MIN(N(M28),N(N28))&lt;=0.5,IF(N(M28)&lt;=N(N28),"C1","C2"),""),"")</f>
        <v/>
      </c>
      <c r="S28" s="13">
        <f>IF(COUNT(D28:H28)=0,"",SUM(D28:H28))</f>
        <v/>
      </c>
      <c r="T28" s="13">
        <f>IF(COUNT(I28:L28)=0,"",SUM(I28:L28))</f>
        <v/>
      </c>
      <c r="U28" s="13">
        <f>IF(COUNT(M28:N28)=0,"",IF(R28="C1",MAX(N(M28),N(Q28)),N(M28))+IF(R28="C2",MAX(N(N28),N(Q28)),N(N28)))</f>
        <v/>
      </c>
      <c r="V28" s="13">
        <f>IF(A28="","",N(S28)+N(T28)+N(U28))</f>
        <v/>
      </c>
      <c r="W28" s="8">
        <f>IF(A28="","",IF(P28="Đã hỏi","Có","Không"))</f>
        <v/>
      </c>
      <c r="X28" s="14">
        <f>IF(A28="","",IF(COUNT(D28:N28)&lt;11,"Chưa chấm đủ tiêu chí",IF(AND(P28="Đã hỏi",O28&lt;&gt;"Có"),"Nhóm không đủ điều kiện hỏi vớt",IF(AND(P28="Đã hỏi",Q28=""),"Chưa nhập điểm vớt",IF(AND(O28="Có",P28=""),"Chọn trạng thái câu vớt","OK")))))</f>
        <v/>
      </c>
      <c r="Y28" s="11" t="n"/>
    </row>
    <row r="29">
      <c r="A29" s="10" t="n"/>
      <c r="B29" s="11" t="n"/>
      <c r="C29" s="10" t="n"/>
      <c r="D29" s="12" t="n"/>
      <c r="E29" s="12" t="n"/>
      <c r="F29" s="12" t="n"/>
      <c r="G29" s="12" t="n"/>
      <c r="H29" s="12" t="n"/>
      <c r="I29" s="12" t="n"/>
      <c r="J29" s="12" t="n"/>
      <c r="K29" s="12" t="n"/>
      <c r="L29" s="12" t="n"/>
      <c r="M29" s="12" t="n"/>
      <c r="N29" s="12" t="n"/>
      <c r="O29" s="8">
        <f>IF(COUNT(M29:N29)=0,"",IF(OR(AND(ISNUMBER(M29),M29&lt;=0.5),AND(ISNUMBER(N29),N29&lt;=0.5)),"Có","Không"))</f>
        <v/>
      </c>
      <c r="P29" s="10" t="n"/>
      <c r="Q29" s="12" t="n"/>
      <c r="R29" s="8">
        <f>IF(P29="Đã hỏi",IF(MIN(N(M29),N(N29))&lt;=0.5,IF(N(M29)&lt;=N(N29),"C1","C2"),""),"")</f>
        <v/>
      </c>
      <c r="S29" s="13">
        <f>IF(COUNT(D29:H29)=0,"",SUM(D29:H29))</f>
        <v/>
      </c>
      <c r="T29" s="13">
        <f>IF(COUNT(I29:L29)=0,"",SUM(I29:L29))</f>
        <v/>
      </c>
      <c r="U29" s="13">
        <f>IF(COUNT(M29:N29)=0,"",IF(R29="C1",MAX(N(M29),N(Q29)),N(M29))+IF(R29="C2",MAX(N(N29),N(Q29)),N(N29)))</f>
        <v/>
      </c>
      <c r="V29" s="13">
        <f>IF(A29="","",N(S29)+N(T29)+N(U29))</f>
        <v/>
      </c>
      <c r="W29" s="8">
        <f>IF(A29="","",IF(P29="Đã hỏi","Có","Không"))</f>
        <v/>
      </c>
      <c r="X29" s="14">
        <f>IF(A29="","",IF(COUNT(D29:N29)&lt;11,"Chưa chấm đủ tiêu chí",IF(AND(P29="Đã hỏi",O29&lt;&gt;"Có"),"Nhóm không đủ điều kiện hỏi vớt",IF(AND(P29="Đã hỏi",Q29=""),"Chưa nhập điểm vớt",IF(AND(O29="Có",P29=""),"Chọn trạng thái câu vớt","OK")))))</f>
        <v/>
      </c>
      <c r="Y29" s="11" t="n"/>
    </row>
  </sheetData>
  <conditionalFormatting sqref="X5:X29">
    <cfRule type="expression" priority="1" dxfId="0">
      <formula>AND(X5&lt;&gt;"",X5&lt;&gt;"OK")</formula>
    </cfRule>
  </conditionalFormatting>
  <dataValidations count="5">
    <dataValidation sqref="D5 D6 D7 D8 D9 D10 D11 D12 D13 D14 D15 D16 D17 D18 D19 D20 D21 D22 D23 D24 D25 D26 D27 D28 D29 E5 E6 E7 E8 E9 E10 E11 E12 E13 E14 E15 E16 E17 E18 E19 E20 E21 E22 E23 E24 E25 E26 E27 E28 E29 H5 H6 H7 H8 H9 H10 H11 H12 H13 H14 H15 H16 H17 H18 H19 H20 H21 H22 H23 H24 H25 H26 H27 H28 H29 I5 I6 I7 I8 I9 I10 I11 I12 I13 I14 I15 I16 I17 I18 I19 I20 I21 I22 I23 I24 I25 I26 I27 I28 I29 J5 J6 J7 J8 J9 J10 J11 J12 J13 J14 J15 J16 J17 J18 J19 J20 J21 J22 J23 J24 J25 J26 J27 J28 J29 K5 K6 K7 K8 K9 K10 K11 K12 K13 K14 K15 K16 K17 K18 K19 K20 K21 K22 K23 K24 K25 K26 K27 K28 K29 L5 L6 L7 L8 L9 L10 L11 L12 L13 L14 L15 L16 L17 L18 L19 L20 L21 L22 L23 L24 L25 L26 L27 L28 L29" showDropDown="0" showInputMessage="0" showErrorMessage="1" allowBlank="1" error="Chọn giá trị trong danh sách." type="list">
      <formula1>"0,0.25,0.5"</formula1>
    </dataValidation>
    <dataValidation sqref="F5 F6 F7 F8 F9 F10 F11 F12 F13 F14 F15 F16 F17 F18 F19 F20 F21 F22 F23 F24 F25 F26 F27 F28 F29 G5 G6 G7 G8 G9 G10 G11 G12 G13 G14 G15 G16 G17 G18 G19 G20 G21 G22 G23 G24 G25 G26 G27 G28 G29" showDropDown="0" showInputMessage="0" showErrorMessage="1" allowBlank="1" error="Chọn giá trị trong danh sách." type="list">
      <formula1>"0,0.25,0.5,0.75"</formula1>
    </dataValidation>
    <dataValidation sqref="M5 M6 M7 M8 M9 M10 M11 M12 M13 M14 M15 M16 M17 M18 M19 M20 M21 M22 M23 M24 M25 M26 M27 M28 M29 N5 N6 N7 N8 N9 N10 N11 N12 N13 N14 N15 N16 N17 N18 N19 N20 N21 N22 N23 N24 N25 N26 N27 N28 N29 Q5 Q6 Q7 Q8 Q9 Q10 Q11 Q12 Q13 Q14 Q15 Q16 Q17 Q18 Q19 Q20 Q21 Q22 Q23 Q24 Q25 Q26 Q27 Q28 Q29" showDropDown="0" showInputMessage="0" showErrorMessage="1" allowBlank="1" error="Chọn giá trị trong danh sách." type="list">
      <formula1>"0,0.5,1,1.5,2"</formula1>
    </dataValidation>
    <dataValidation sqref="C5 C6 C7 C8 C9 C10 C11 C12 C13 C14 C15 C16 C17 C18 C19 C20 C21 C22 C23 C24 C25 C26 C27 C28 C29" showDropDown="0" showInputMessage="0" showErrorMessage="1" allowBlank="1" error="Chọn giá trị trong danh sách." type="list">
      <formula1>"Định lượng,Định tính"</formula1>
    </dataValidation>
    <dataValidation sqref="P5 P6 P7 P8 P9 P10 P11 P12 P13 P14 P15 P16 P17 P18 P19 P20 P21 P22 P23 P24 P25 P26 P27 P28 P29" showDropDown="0" showInputMessage="0" showErrorMessage="1" allowBlank="1" error="Chọn giá trị trong danh sách." type="list">
      <formula1>"Không cần,Nhóm từ chối,Đã hỏi"</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6"/>
  <sheetViews>
    <sheetView zoomScale="100" workbookViewId="0">
      <pane xSplit="3" ySplit="6" topLeftCell="D7" activePane="bottomRight" state="frozen"/>
      <selection pane="topRight"/>
      <selection pane="bottomLeft"/>
      <selection pane="bottomRight" activeCell="A1" sqref="A1"/>
    </sheetView>
  </sheetViews>
  <sheetFormatPr baseColWidth="8" defaultRowHeight="15"/>
  <cols>
    <col width="6" customWidth="1" min="1" max="1"/>
    <col width="13" customWidth="1" min="2" max="2"/>
    <col width="26" customWidth="1" min="3" max="3"/>
    <col width="10" customWidth="1" min="4" max="4"/>
    <col width="12" customWidth="1" min="5" max="5"/>
    <col width="8" customWidth="1" min="6" max="6"/>
    <col width="11" customWidth="1" min="7" max="7"/>
    <col width="11" customWidth="1" min="8" max="8"/>
    <col width="11" customWidth="1" min="9" max="9"/>
    <col width="11" customWidth="1" min="10" max="10"/>
    <col width="12" customWidth="1" min="11" max="11"/>
    <col width="22" customWidth="1" min="12" max="12"/>
    <col width="30" customWidth="1" min="13" max="13"/>
  </cols>
  <sheetData>
    <row r="1">
      <c r="A1" s="1" t="inlineStr">
        <is>
          <t>CHẤM PHẦN CÁ NHÂN VÀ ĐIỂM CUỐI</t>
        </is>
      </c>
    </row>
    <row r="2">
      <c r="A2" s="9" t="inlineStr">
        <is>
          <t>Chọn mã nhóm (phải có ở sheet “Chấm nhóm”), nhập điểm câu cá nhân D.</t>
        </is>
      </c>
    </row>
    <row r="4">
      <c r="A4" s="15" t="inlineStr">
        <is>
          <t>Cách áp trần 8 khi nhóm nhận câu vớt:</t>
        </is>
      </c>
      <c r="C4" s="16" t="inlineStr">
        <is>
          <t>Điểm cuối</t>
        </is>
      </c>
    </row>
    <row r="6" ht="32" customHeight="1">
      <c r="A6" s="4" t="inlineStr">
        <is>
          <t>STT</t>
        </is>
      </c>
      <c r="B6" s="4" t="inlineStr">
        <is>
          <t>MSSV</t>
        </is>
      </c>
      <c r="C6" s="4" t="inlineStr">
        <is>
          <t>Họ và tên</t>
        </is>
      </c>
      <c r="D6" s="4" t="inlineStr">
        <is>
          <t>Mã nhóm</t>
        </is>
      </c>
      <c r="E6" s="4" t="inlineStr">
        <is>
          <t>Câu cá nhân (mã)</t>
        </is>
      </c>
      <c r="F6" s="4" t="inlineStr">
        <is>
          <t>D
(1)</t>
        </is>
      </c>
      <c r="G6" s="4" t="inlineStr">
        <is>
          <t>Điểm nhóm
(9)</t>
        </is>
      </c>
      <c r="H6" s="4" t="inlineStr">
        <is>
          <t>Nhóm đã nhận vớt</t>
        </is>
      </c>
      <c r="I6" s="4" t="inlineStr">
        <is>
          <t>Điểm trước trần</t>
        </is>
      </c>
      <c r="J6" s="4" t="inlineStr">
        <is>
          <t>Điểm cuối
(10)</t>
        </is>
      </c>
      <c r="K6" s="4" t="inlineStr">
        <is>
          <t>Xếp loại</t>
        </is>
      </c>
      <c r="L6" s="4" t="inlineStr">
        <is>
          <t>Kiểm tra</t>
        </is>
      </c>
      <c r="M6" s="4" t="inlineStr">
        <is>
          <t>Ghi chú</t>
        </is>
      </c>
    </row>
    <row r="7">
      <c r="A7" s="5">
        <f>IF(B7="","",ROW()-6)</f>
        <v/>
      </c>
      <c r="B7" s="10" t="n"/>
      <c r="C7" s="11" t="n"/>
      <c r="D7" s="10" t="n"/>
      <c r="E7" s="10" t="n"/>
      <c r="F7" s="12" t="n"/>
      <c r="G7" s="13">
        <f>IF(D7="","",IFERROR(INDEX('Chấm nhóm'!$V$5:$V$29,MATCH(D7,'Chấm nhóm'!$A$5:$A$29,0)),""))</f>
        <v/>
      </c>
      <c r="H7" s="8">
        <f>IF(D7="","",IFERROR(INDEX('Chấm nhóm'!$W$5:$W$29,MATCH(D7,'Chấm nhóm'!$A$5:$A$29,0)),""))</f>
        <v/>
      </c>
      <c r="I7" s="13">
        <f>IF(OR(G7="",F7=""),"",G7+F7)</f>
        <v/>
      </c>
      <c r="J7" s="13">
        <f>IF(I7="","",ROUND(IF(H7="Có",IF($C$4="Phần nhóm",MIN(7,G7)+F7,MIN(8,I7)),I7)*4,0)/4)</f>
        <v/>
      </c>
      <c r="K7" s="8">
        <f>IF(J7="","",IF(J7&gt;=9,"Xuất sắc",IF(J7&gt;=8,"Giỏi",IF(J7&gt;=6.5,"Khá",IF(J7&gt;=5,"Trung bình",IF(J7&gt;=3,"Yếu","Kém"))))))</f>
        <v/>
      </c>
      <c r="L7" s="14">
        <f>IF(B7="","",IF(D7="","Chưa chọn nhóm",IF(ISNA(MATCH(D7,'Chấm nhóm'!$A$5:$A$29,0)),"Mã nhóm không có",IF(F7="","Chưa nhập D",IF(COUNTIF($B$7:$B$66,B7)&gt;1,"MSSV bị trùng","OK")))))</f>
        <v/>
      </c>
      <c r="M7" s="11" t="n"/>
    </row>
    <row r="8">
      <c r="A8" s="5">
        <f>IF(B8="","",ROW()-6)</f>
        <v/>
      </c>
      <c r="B8" s="10" t="n"/>
      <c r="C8" s="11" t="n"/>
      <c r="D8" s="10" t="n"/>
      <c r="E8" s="10" t="n"/>
      <c r="F8" s="12" t="n"/>
      <c r="G8" s="13">
        <f>IF(D8="","",IFERROR(INDEX('Chấm nhóm'!$V$5:$V$29,MATCH(D8,'Chấm nhóm'!$A$5:$A$29,0)),""))</f>
        <v/>
      </c>
      <c r="H8" s="8">
        <f>IF(D8="","",IFERROR(INDEX('Chấm nhóm'!$W$5:$W$29,MATCH(D8,'Chấm nhóm'!$A$5:$A$29,0)),""))</f>
        <v/>
      </c>
      <c r="I8" s="13">
        <f>IF(OR(G8="",F8=""),"",G8+F8)</f>
        <v/>
      </c>
      <c r="J8" s="13">
        <f>IF(I8="","",ROUND(IF(H8="Có",IF($C$4="Phần nhóm",MIN(7,G8)+F8,MIN(8,I8)),I8)*4,0)/4)</f>
        <v/>
      </c>
      <c r="K8" s="8">
        <f>IF(J8="","",IF(J8&gt;=9,"Xuất sắc",IF(J8&gt;=8,"Giỏi",IF(J8&gt;=6.5,"Khá",IF(J8&gt;=5,"Trung bình",IF(J8&gt;=3,"Yếu","Kém"))))))</f>
        <v/>
      </c>
      <c r="L8" s="14">
        <f>IF(B8="","",IF(D8="","Chưa chọn nhóm",IF(ISNA(MATCH(D8,'Chấm nhóm'!$A$5:$A$29,0)),"Mã nhóm không có",IF(F8="","Chưa nhập D",IF(COUNTIF($B$7:$B$66,B8)&gt;1,"MSSV bị trùng","OK")))))</f>
        <v/>
      </c>
      <c r="M8" s="11" t="n"/>
    </row>
    <row r="9">
      <c r="A9" s="5">
        <f>IF(B9="","",ROW()-6)</f>
        <v/>
      </c>
      <c r="B9" s="10" t="n"/>
      <c r="C9" s="11" t="n"/>
      <c r="D9" s="10" t="n"/>
      <c r="E9" s="10" t="n"/>
      <c r="F9" s="12" t="n"/>
      <c r="G9" s="13">
        <f>IF(D9="","",IFERROR(INDEX('Chấm nhóm'!$V$5:$V$29,MATCH(D9,'Chấm nhóm'!$A$5:$A$29,0)),""))</f>
        <v/>
      </c>
      <c r="H9" s="8">
        <f>IF(D9="","",IFERROR(INDEX('Chấm nhóm'!$W$5:$W$29,MATCH(D9,'Chấm nhóm'!$A$5:$A$29,0)),""))</f>
        <v/>
      </c>
      <c r="I9" s="13">
        <f>IF(OR(G9="",F9=""),"",G9+F9)</f>
        <v/>
      </c>
      <c r="J9" s="13">
        <f>IF(I9="","",ROUND(IF(H9="Có",IF($C$4="Phần nhóm",MIN(7,G9)+F9,MIN(8,I9)),I9)*4,0)/4)</f>
        <v/>
      </c>
      <c r="K9" s="8">
        <f>IF(J9="","",IF(J9&gt;=9,"Xuất sắc",IF(J9&gt;=8,"Giỏi",IF(J9&gt;=6.5,"Khá",IF(J9&gt;=5,"Trung bình",IF(J9&gt;=3,"Yếu","Kém"))))))</f>
        <v/>
      </c>
      <c r="L9" s="14">
        <f>IF(B9="","",IF(D9="","Chưa chọn nhóm",IF(ISNA(MATCH(D9,'Chấm nhóm'!$A$5:$A$29,0)),"Mã nhóm không có",IF(F9="","Chưa nhập D",IF(COUNTIF($B$7:$B$66,B9)&gt;1,"MSSV bị trùng","OK")))))</f>
        <v/>
      </c>
      <c r="M9" s="11" t="n"/>
    </row>
    <row r="10">
      <c r="A10" s="5">
        <f>IF(B10="","",ROW()-6)</f>
        <v/>
      </c>
      <c r="B10" s="10" t="n"/>
      <c r="C10" s="11" t="n"/>
      <c r="D10" s="10" t="n"/>
      <c r="E10" s="10" t="n"/>
      <c r="F10" s="12" t="n"/>
      <c r="G10" s="13">
        <f>IF(D10="","",IFERROR(INDEX('Chấm nhóm'!$V$5:$V$29,MATCH(D10,'Chấm nhóm'!$A$5:$A$29,0)),""))</f>
        <v/>
      </c>
      <c r="H10" s="8">
        <f>IF(D10="","",IFERROR(INDEX('Chấm nhóm'!$W$5:$W$29,MATCH(D10,'Chấm nhóm'!$A$5:$A$29,0)),""))</f>
        <v/>
      </c>
      <c r="I10" s="13">
        <f>IF(OR(G10="",F10=""),"",G10+F10)</f>
        <v/>
      </c>
      <c r="J10" s="13">
        <f>IF(I10="","",ROUND(IF(H10="Có",IF($C$4="Phần nhóm",MIN(7,G10)+F10,MIN(8,I10)),I10)*4,0)/4)</f>
        <v/>
      </c>
      <c r="K10" s="8">
        <f>IF(J10="","",IF(J10&gt;=9,"Xuất sắc",IF(J10&gt;=8,"Giỏi",IF(J10&gt;=6.5,"Khá",IF(J10&gt;=5,"Trung bình",IF(J10&gt;=3,"Yếu","Kém"))))))</f>
        <v/>
      </c>
      <c r="L10" s="14">
        <f>IF(B10="","",IF(D10="","Chưa chọn nhóm",IF(ISNA(MATCH(D10,'Chấm nhóm'!$A$5:$A$29,0)),"Mã nhóm không có",IF(F10="","Chưa nhập D",IF(COUNTIF($B$7:$B$66,B10)&gt;1,"MSSV bị trùng","OK")))))</f>
        <v/>
      </c>
      <c r="M10" s="11" t="n"/>
    </row>
    <row r="11">
      <c r="A11" s="5">
        <f>IF(B11="","",ROW()-6)</f>
        <v/>
      </c>
      <c r="B11" s="10" t="n"/>
      <c r="C11" s="11" t="n"/>
      <c r="D11" s="10" t="n"/>
      <c r="E11" s="10" t="n"/>
      <c r="F11" s="12" t="n"/>
      <c r="G11" s="13">
        <f>IF(D11="","",IFERROR(INDEX('Chấm nhóm'!$V$5:$V$29,MATCH(D11,'Chấm nhóm'!$A$5:$A$29,0)),""))</f>
        <v/>
      </c>
      <c r="H11" s="8">
        <f>IF(D11="","",IFERROR(INDEX('Chấm nhóm'!$W$5:$W$29,MATCH(D11,'Chấm nhóm'!$A$5:$A$29,0)),""))</f>
        <v/>
      </c>
      <c r="I11" s="13">
        <f>IF(OR(G11="",F11=""),"",G11+F11)</f>
        <v/>
      </c>
      <c r="J11" s="13">
        <f>IF(I11="","",ROUND(IF(H11="Có",IF($C$4="Phần nhóm",MIN(7,G11)+F11,MIN(8,I11)),I11)*4,0)/4)</f>
        <v/>
      </c>
      <c r="K11" s="8">
        <f>IF(J11="","",IF(J11&gt;=9,"Xuất sắc",IF(J11&gt;=8,"Giỏi",IF(J11&gt;=6.5,"Khá",IF(J11&gt;=5,"Trung bình",IF(J11&gt;=3,"Yếu","Kém"))))))</f>
        <v/>
      </c>
      <c r="L11" s="14">
        <f>IF(B11="","",IF(D11="","Chưa chọn nhóm",IF(ISNA(MATCH(D11,'Chấm nhóm'!$A$5:$A$29,0)),"Mã nhóm không có",IF(F11="","Chưa nhập D",IF(COUNTIF($B$7:$B$66,B11)&gt;1,"MSSV bị trùng","OK")))))</f>
        <v/>
      </c>
      <c r="M11" s="11" t="n"/>
    </row>
    <row r="12">
      <c r="A12" s="5">
        <f>IF(B12="","",ROW()-6)</f>
        <v/>
      </c>
      <c r="B12" s="10" t="n"/>
      <c r="C12" s="11" t="n"/>
      <c r="D12" s="10" t="n"/>
      <c r="E12" s="10" t="n"/>
      <c r="F12" s="12" t="n"/>
      <c r="G12" s="13">
        <f>IF(D12="","",IFERROR(INDEX('Chấm nhóm'!$V$5:$V$29,MATCH(D12,'Chấm nhóm'!$A$5:$A$29,0)),""))</f>
        <v/>
      </c>
      <c r="H12" s="8">
        <f>IF(D12="","",IFERROR(INDEX('Chấm nhóm'!$W$5:$W$29,MATCH(D12,'Chấm nhóm'!$A$5:$A$29,0)),""))</f>
        <v/>
      </c>
      <c r="I12" s="13">
        <f>IF(OR(G12="",F12=""),"",G12+F12)</f>
        <v/>
      </c>
      <c r="J12" s="13">
        <f>IF(I12="","",ROUND(IF(H12="Có",IF($C$4="Phần nhóm",MIN(7,G12)+F12,MIN(8,I12)),I12)*4,0)/4)</f>
        <v/>
      </c>
      <c r="K12" s="8">
        <f>IF(J12="","",IF(J12&gt;=9,"Xuất sắc",IF(J12&gt;=8,"Giỏi",IF(J12&gt;=6.5,"Khá",IF(J12&gt;=5,"Trung bình",IF(J12&gt;=3,"Yếu","Kém"))))))</f>
        <v/>
      </c>
      <c r="L12" s="14">
        <f>IF(B12="","",IF(D12="","Chưa chọn nhóm",IF(ISNA(MATCH(D12,'Chấm nhóm'!$A$5:$A$29,0)),"Mã nhóm không có",IF(F12="","Chưa nhập D",IF(COUNTIF($B$7:$B$66,B12)&gt;1,"MSSV bị trùng","OK")))))</f>
        <v/>
      </c>
      <c r="M12" s="11" t="n"/>
    </row>
    <row r="13">
      <c r="A13" s="5">
        <f>IF(B13="","",ROW()-6)</f>
        <v/>
      </c>
      <c r="B13" s="10" t="n"/>
      <c r="C13" s="11" t="n"/>
      <c r="D13" s="10" t="n"/>
      <c r="E13" s="10" t="n"/>
      <c r="F13" s="12" t="n"/>
      <c r="G13" s="13">
        <f>IF(D13="","",IFERROR(INDEX('Chấm nhóm'!$V$5:$V$29,MATCH(D13,'Chấm nhóm'!$A$5:$A$29,0)),""))</f>
        <v/>
      </c>
      <c r="H13" s="8">
        <f>IF(D13="","",IFERROR(INDEX('Chấm nhóm'!$W$5:$W$29,MATCH(D13,'Chấm nhóm'!$A$5:$A$29,0)),""))</f>
        <v/>
      </c>
      <c r="I13" s="13">
        <f>IF(OR(G13="",F13=""),"",G13+F13)</f>
        <v/>
      </c>
      <c r="J13" s="13">
        <f>IF(I13="","",ROUND(IF(H13="Có",IF($C$4="Phần nhóm",MIN(7,G13)+F13,MIN(8,I13)),I13)*4,0)/4)</f>
        <v/>
      </c>
      <c r="K13" s="8">
        <f>IF(J13="","",IF(J13&gt;=9,"Xuất sắc",IF(J13&gt;=8,"Giỏi",IF(J13&gt;=6.5,"Khá",IF(J13&gt;=5,"Trung bình",IF(J13&gt;=3,"Yếu","Kém"))))))</f>
        <v/>
      </c>
      <c r="L13" s="14">
        <f>IF(B13="","",IF(D13="","Chưa chọn nhóm",IF(ISNA(MATCH(D13,'Chấm nhóm'!$A$5:$A$29,0)),"Mã nhóm không có",IF(F13="","Chưa nhập D",IF(COUNTIF($B$7:$B$66,B13)&gt;1,"MSSV bị trùng","OK")))))</f>
        <v/>
      </c>
      <c r="M13" s="11" t="n"/>
    </row>
    <row r="14">
      <c r="A14" s="5">
        <f>IF(B14="","",ROW()-6)</f>
        <v/>
      </c>
      <c r="B14" s="10" t="n"/>
      <c r="C14" s="11" t="n"/>
      <c r="D14" s="10" t="n"/>
      <c r="E14" s="10" t="n"/>
      <c r="F14" s="12" t="n"/>
      <c r="G14" s="13">
        <f>IF(D14="","",IFERROR(INDEX('Chấm nhóm'!$V$5:$V$29,MATCH(D14,'Chấm nhóm'!$A$5:$A$29,0)),""))</f>
        <v/>
      </c>
      <c r="H14" s="8">
        <f>IF(D14="","",IFERROR(INDEX('Chấm nhóm'!$W$5:$W$29,MATCH(D14,'Chấm nhóm'!$A$5:$A$29,0)),""))</f>
        <v/>
      </c>
      <c r="I14" s="13">
        <f>IF(OR(G14="",F14=""),"",G14+F14)</f>
        <v/>
      </c>
      <c r="J14" s="13">
        <f>IF(I14="","",ROUND(IF(H14="Có",IF($C$4="Phần nhóm",MIN(7,G14)+F14,MIN(8,I14)),I14)*4,0)/4)</f>
        <v/>
      </c>
      <c r="K14" s="8">
        <f>IF(J14="","",IF(J14&gt;=9,"Xuất sắc",IF(J14&gt;=8,"Giỏi",IF(J14&gt;=6.5,"Khá",IF(J14&gt;=5,"Trung bình",IF(J14&gt;=3,"Yếu","Kém"))))))</f>
        <v/>
      </c>
      <c r="L14" s="14">
        <f>IF(B14="","",IF(D14="","Chưa chọn nhóm",IF(ISNA(MATCH(D14,'Chấm nhóm'!$A$5:$A$29,0)),"Mã nhóm không có",IF(F14="","Chưa nhập D",IF(COUNTIF($B$7:$B$66,B14)&gt;1,"MSSV bị trùng","OK")))))</f>
        <v/>
      </c>
      <c r="M14" s="11" t="n"/>
    </row>
    <row r="15">
      <c r="A15" s="5">
        <f>IF(B15="","",ROW()-6)</f>
        <v/>
      </c>
      <c r="B15" s="10" t="n"/>
      <c r="C15" s="11" t="n"/>
      <c r="D15" s="10" t="n"/>
      <c r="E15" s="10" t="n"/>
      <c r="F15" s="12" t="n"/>
      <c r="G15" s="13">
        <f>IF(D15="","",IFERROR(INDEX('Chấm nhóm'!$V$5:$V$29,MATCH(D15,'Chấm nhóm'!$A$5:$A$29,0)),""))</f>
        <v/>
      </c>
      <c r="H15" s="8">
        <f>IF(D15="","",IFERROR(INDEX('Chấm nhóm'!$W$5:$W$29,MATCH(D15,'Chấm nhóm'!$A$5:$A$29,0)),""))</f>
        <v/>
      </c>
      <c r="I15" s="13">
        <f>IF(OR(G15="",F15=""),"",G15+F15)</f>
        <v/>
      </c>
      <c r="J15" s="13">
        <f>IF(I15="","",ROUND(IF(H15="Có",IF($C$4="Phần nhóm",MIN(7,G15)+F15,MIN(8,I15)),I15)*4,0)/4)</f>
        <v/>
      </c>
      <c r="K15" s="8">
        <f>IF(J15="","",IF(J15&gt;=9,"Xuất sắc",IF(J15&gt;=8,"Giỏi",IF(J15&gt;=6.5,"Khá",IF(J15&gt;=5,"Trung bình",IF(J15&gt;=3,"Yếu","Kém"))))))</f>
        <v/>
      </c>
      <c r="L15" s="14">
        <f>IF(B15="","",IF(D15="","Chưa chọn nhóm",IF(ISNA(MATCH(D15,'Chấm nhóm'!$A$5:$A$29,0)),"Mã nhóm không có",IF(F15="","Chưa nhập D",IF(COUNTIF($B$7:$B$66,B15)&gt;1,"MSSV bị trùng","OK")))))</f>
        <v/>
      </c>
      <c r="M15" s="11" t="n"/>
    </row>
    <row r="16">
      <c r="A16" s="5">
        <f>IF(B16="","",ROW()-6)</f>
        <v/>
      </c>
      <c r="B16" s="10" t="n"/>
      <c r="C16" s="11" t="n"/>
      <c r="D16" s="10" t="n"/>
      <c r="E16" s="10" t="n"/>
      <c r="F16" s="12" t="n"/>
      <c r="G16" s="13">
        <f>IF(D16="","",IFERROR(INDEX('Chấm nhóm'!$V$5:$V$29,MATCH(D16,'Chấm nhóm'!$A$5:$A$29,0)),""))</f>
        <v/>
      </c>
      <c r="H16" s="8">
        <f>IF(D16="","",IFERROR(INDEX('Chấm nhóm'!$W$5:$W$29,MATCH(D16,'Chấm nhóm'!$A$5:$A$29,0)),""))</f>
        <v/>
      </c>
      <c r="I16" s="13">
        <f>IF(OR(G16="",F16=""),"",G16+F16)</f>
        <v/>
      </c>
      <c r="J16" s="13">
        <f>IF(I16="","",ROUND(IF(H16="Có",IF($C$4="Phần nhóm",MIN(7,G16)+F16,MIN(8,I16)),I16)*4,0)/4)</f>
        <v/>
      </c>
      <c r="K16" s="8">
        <f>IF(J16="","",IF(J16&gt;=9,"Xuất sắc",IF(J16&gt;=8,"Giỏi",IF(J16&gt;=6.5,"Khá",IF(J16&gt;=5,"Trung bình",IF(J16&gt;=3,"Yếu","Kém"))))))</f>
        <v/>
      </c>
      <c r="L16" s="14">
        <f>IF(B16="","",IF(D16="","Chưa chọn nhóm",IF(ISNA(MATCH(D16,'Chấm nhóm'!$A$5:$A$29,0)),"Mã nhóm không có",IF(F16="","Chưa nhập D",IF(COUNTIF($B$7:$B$66,B16)&gt;1,"MSSV bị trùng","OK")))))</f>
        <v/>
      </c>
      <c r="M16" s="11" t="n"/>
    </row>
    <row r="17">
      <c r="A17" s="5">
        <f>IF(B17="","",ROW()-6)</f>
        <v/>
      </c>
      <c r="B17" s="10" t="n"/>
      <c r="C17" s="11" t="n"/>
      <c r="D17" s="10" t="n"/>
      <c r="E17" s="10" t="n"/>
      <c r="F17" s="12" t="n"/>
      <c r="G17" s="13">
        <f>IF(D17="","",IFERROR(INDEX('Chấm nhóm'!$V$5:$V$29,MATCH(D17,'Chấm nhóm'!$A$5:$A$29,0)),""))</f>
        <v/>
      </c>
      <c r="H17" s="8">
        <f>IF(D17="","",IFERROR(INDEX('Chấm nhóm'!$W$5:$W$29,MATCH(D17,'Chấm nhóm'!$A$5:$A$29,0)),""))</f>
        <v/>
      </c>
      <c r="I17" s="13">
        <f>IF(OR(G17="",F17=""),"",G17+F17)</f>
        <v/>
      </c>
      <c r="J17" s="13">
        <f>IF(I17="","",ROUND(IF(H17="Có",IF($C$4="Phần nhóm",MIN(7,G17)+F17,MIN(8,I17)),I17)*4,0)/4)</f>
        <v/>
      </c>
      <c r="K17" s="8">
        <f>IF(J17="","",IF(J17&gt;=9,"Xuất sắc",IF(J17&gt;=8,"Giỏi",IF(J17&gt;=6.5,"Khá",IF(J17&gt;=5,"Trung bình",IF(J17&gt;=3,"Yếu","Kém"))))))</f>
        <v/>
      </c>
      <c r="L17" s="14">
        <f>IF(B17="","",IF(D17="","Chưa chọn nhóm",IF(ISNA(MATCH(D17,'Chấm nhóm'!$A$5:$A$29,0)),"Mã nhóm không có",IF(F17="","Chưa nhập D",IF(COUNTIF($B$7:$B$66,B17)&gt;1,"MSSV bị trùng","OK")))))</f>
        <v/>
      </c>
      <c r="M17" s="11" t="n"/>
    </row>
    <row r="18">
      <c r="A18" s="5">
        <f>IF(B18="","",ROW()-6)</f>
        <v/>
      </c>
      <c r="B18" s="10" t="n"/>
      <c r="C18" s="11" t="n"/>
      <c r="D18" s="10" t="n"/>
      <c r="E18" s="10" t="n"/>
      <c r="F18" s="12" t="n"/>
      <c r="G18" s="13">
        <f>IF(D18="","",IFERROR(INDEX('Chấm nhóm'!$V$5:$V$29,MATCH(D18,'Chấm nhóm'!$A$5:$A$29,0)),""))</f>
        <v/>
      </c>
      <c r="H18" s="8">
        <f>IF(D18="","",IFERROR(INDEX('Chấm nhóm'!$W$5:$W$29,MATCH(D18,'Chấm nhóm'!$A$5:$A$29,0)),""))</f>
        <v/>
      </c>
      <c r="I18" s="13">
        <f>IF(OR(G18="",F18=""),"",G18+F18)</f>
        <v/>
      </c>
      <c r="J18" s="13">
        <f>IF(I18="","",ROUND(IF(H18="Có",IF($C$4="Phần nhóm",MIN(7,G18)+F18,MIN(8,I18)),I18)*4,0)/4)</f>
        <v/>
      </c>
      <c r="K18" s="8">
        <f>IF(J18="","",IF(J18&gt;=9,"Xuất sắc",IF(J18&gt;=8,"Giỏi",IF(J18&gt;=6.5,"Khá",IF(J18&gt;=5,"Trung bình",IF(J18&gt;=3,"Yếu","Kém"))))))</f>
        <v/>
      </c>
      <c r="L18" s="14">
        <f>IF(B18="","",IF(D18="","Chưa chọn nhóm",IF(ISNA(MATCH(D18,'Chấm nhóm'!$A$5:$A$29,0)),"Mã nhóm không có",IF(F18="","Chưa nhập D",IF(COUNTIF($B$7:$B$66,B18)&gt;1,"MSSV bị trùng","OK")))))</f>
        <v/>
      </c>
      <c r="M18" s="11" t="n"/>
    </row>
    <row r="19">
      <c r="A19" s="5">
        <f>IF(B19="","",ROW()-6)</f>
        <v/>
      </c>
      <c r="B19" s="10" t="n"/>
      <c r="C19" s="11" t="n"/>
      <c r="D19" s="10" t="n"/>
      <c r="E19" s="10" t="n"/>
      <c r="F19" s="12" t="n"/>
      <c r="G19" s="13">
        <f>IF(D19="","",IFERROR(INDEX('Chấm nhóm'!$V$5:$V$29,MATCH(D19,'Chấm nhóm'!$A$5:$A$29,0)),""))</f>
        <v/>
      </c>
      <c r="H19" s="8">
        <f>IF(D19="","",IFERROR(INDEX('Chấm nhóm'!$W$5:$W$29,MATCH(D19,'Chấm nhóm'!$A$5:$A$29,0)),""))</f>
        <v/>
      </c>
      <c r="I19" s="13">
        <f>IF(OR(G19="",F19=""),"",G19+F19)</f>
        <v/>
      </c>
      <c r="J19" s="13">
        <f>IF(I19="","",ROUND(IF(H19="Có",IF($C$4="Phần nhóm",MIN(7,G19)+F19,MIN(8,I19)),I19)*4,0)/4)</f>
        <v/>
      </c>
      <c r="K19" s="8">
        <f>IF(J19="","",IF(J19&gt;=9,"Xuất sắc",IF(J19&gt;=8,"Giỏi",IF(J19&gt;=6.5,"Khá",IF(J19&gt;=5,"Trung bình",IF(J19&gt;=3,"Yếu","Kém"))))))</f>
        <v/>
      </c>
      <c r="L19" s="14">
        <f>IF(B19="","",IF(D19="","Chưa chọn nhóm",IF(ISNA(MATCH(D19,'Chấm nhóm'!$A$5:$A$29,0)),"Mã nhóm không có",IF(F19="","Chưa nhập D",IF(COUNTIF($B$7:$B$66,B19)&gt;1,"MSSV bị trùng","OK")))))</f>
        <v/>
      </c>
      <c r="M19" s="11" t="n"/>
    </row>
    <row r="20">
      <c r="A20" s="5">
        <f>IF(B20="","",ROW()-6)</f>
        <v/>
      </c>
      <c r="B20" s="10" t="n"/>
      <c r="C20" s="11" t="n"/>
      <c r="D20" s="10" t="n"/>
      <c r="E20" s="10" t="n"/>
      <c r="F20" s="12" t="n"/>
      <c r="G20" s="13">
        <f>IF(D20="","",IFERROR(INDEX('Chấm nhóm'!$V$5:$V$29,MATCH(D20,'Chấm nhóm'!$A$5:$A$29,0)),""))</f>
        <v/>
      </c>
      <c r="H20" s="8">
        <f>IF(D20="","",IFERROR(INDEX('Chấm nhóm'!$W$5:$W$29,MATCH(D20,'Chấm nhóm'!$A$5:$A$29,0)),""))</f>
        <v/>
      </c>
      <c r="I20" s="13">
        <f>IF(OR(G20="",F20=""),"",G20+F20)</f>
        <v/>
      </c>
      <c r="J20" s="13">
        <f>IF(I20="","",ROUND(IF(H20="Có",IF($C$4="Phần nhóm",MIN(7,G20)+F20,MIN(8,I20)),I20)*4,0)/4)</f>
        <v/>
      </c>
      <c r="K20" s="8">
        <f>IF(J20="","",IF(J20&gt;=9,"Xuất sắc",IF(J20&gt;=8,"Giỏi",IF(J20&gt;=6.5,"Khá",IF(J20&gt;=5,"Trung bình",IF(J20&gt;=3,"Yếu","Kém"))))))</f>
        <v/>
      </c>
      <c r="L20" s="14">
        <f>IF(B20="","",IF(D20="","Chưa chọn nhóm",IF(ISNA(MATCH(D20,'Chấm nhóm'!$A$5:$A$29,0)),"Mã nhóm không có",IF(F20="","Chưa nhập D",IF(COUNTIF($B$7:$B$66,B20)&gt;1,"MSSV bị trùng","OK")))))</f>
        <v/>
      </c>
      <c r="M20" s="11" t="n"/>
    </row>
    <row r="21">
      <c r="A21" s="5">
        <f>IF(B21="","",ROW()-6)</f>
        <v/>
      </c>
      <c r="B21" s="10" t="n"/>
      <c r="C21" s="11" t="n"/>
      <c r="D21" s="10" t="n"/>
      <c r="E21" s="10" t="n"/>
      <c r="F21" s="12" t="n"/>
      <c r="G21" s="13">
        <f>IF(D21="","",IFERROR(INDEX('Chấm nhóm'!$V$5:$V$29,MATCH(D21,'Chấm nhóm'!$A$5:$A$29,0)),""))</f>
        <v/>
      </c>
      <c r="H21" s="8">
        <f>IF(D21="","",IFERROR(INDEX('Chấm nhóm'!$W$5:$W$29,MATCH(D21,'Chấm nhóm'!$A$5:$A$29,0)),""))</f>
        <v/>
      </c>
      <c r="I21" s="13">
        <f>IF(OR(G21="",F21=""),"",G21+F21)</f>
        <v/>
      </c>
      <c r="J21" s="13">
        <f>IF(I21="","",ROUND(IF(H21="Có",IF($C$4="Phần nhóm",MIN(7,G21)+F21,MIN(8,I21)),I21)*4,0)/4)</f>
        <v/>
      </c>
      <c r="K21" s="8">
        <f>IF(J21="","",IF(J21&gt;=9,"Xuất sắc",IF(J21&gt;=8,"Giỏi",IF(J21&gt;=6.5,"Khá",IF(J21&gt;=5,"Trung bình",IF(J21&gt;=3,"Yếu","Kém"))))))</f>
        <v/>
      </c>
      <c r="L21" s="14">
        <f>IF(B21="","",IF(D21="","Chưa chọn nhóm",IF(ISNA(MATCH(D21,'Chấm nhóm'!$A$5:$A$29,0)),"Mã nhóm không có",IF(F21="","Chưa nhập D",IF(COUNTIF($B$7:$B$66,B21)&gt;1,"MSSV bị trùng","OK")))))</f>
        <v/>
      </c>
      <c r="M21" s="11" t="n"/>
    </row>
    <row r="22">
      <c r="A22" s="5">
        <f>IF(B22="","",ROW()-6)</f>
        <v/>
      </c>
      <c r="B22" s="10" t="n"/>
      <c r="C22" s="11" t="n"/>
      <c r="D22" s="10" t="n"/>
      <c r="E22" s="10" t="n"/>
      <c r="F22" s="12" t="n"/>
      <c r="G22" s="13">
        <f>IF(D22="","",IFERROR(INDEX('Chấm nhóm'!$V$5:$V$29,MATCH(D22,'Chấm nhóm'!$A$5:$A$29,0)),""))</f>
        <v/>
      </c>
      <c r="H22" s="8">
        <f>IF(D22="","",IFERROR(INDEX('Chấm nhóm'!$W$5:$W$29,MATCH(D22,'Chấm nhóm'!$A$5:$A$29,0)),""))</f>
        <v/>
      </c>
      <c r="I22" s="13">
        <f>IF(OR(G22="",F22=""),"",G22+F22)</f>
        <v/>
      </c>
      <c r="J22" s="13">
        <f>IF(I22="","",ROUND(IF(H22="Có",IF($C$4="Phần nhóm",MIN(7,G22)+F22,MIN(8,I22)),I22)*4,0)/4)</f>
        <v/>
      </c>
      <c r="K22" s="8">
        <f>IF(J22="","",IF(J22&gt;=9,"Xuất sắc",IF(J22&gt;=8,"Giỏi",IF(J22&gt;=6.5,"Khá",IF(J22&gt;=5,"Trung bình",IF(J22&gt;=3,"Yếu","Kém"))))))</f>
        <v/>
      </c>
      <c r="L22" s="14">
        <f>IF(B22="","",IF(D22="","Chưa chọn nhóm",IF(ISNA(MATCH(D22,'Chấm nhóm'!$A$5:$A$29,0)),"Mã nhóm không có",IF(F22="","Chưa nhập D",IF(COUNTIF($B$7:$B$66,B22)&gt;1,"MSSV bị trùng","OK")))))</f>
        <v/>
      </c>
      <c r="M22" s="11" t="n"/>
    </row>
    <row r="23">
      <c r="A23" s="5">
        <f>IF(B23="","",ROW()-6)</f>
        <v/>
      </c>
      <c r="B23" s="10" t="n"/>
      <c r="C23" s="11" t="n"/>
      <c r="D23" s="10" t="n"/>
      <c r="E23" s="10" t="n"/>
      <c r="F23" s="12" t="n"/>
      <c r="G23" s="13">
        <f>IF(D23="","",IFERROR(INDEX('Chấm nhóm'!$V$5:$V$29,MATCH(D23,'Chấm nhóm'!$A$5:$A$29,0)),""))</f>
        <v/>
      </c>
      <c r="H23" s="8">
        <f>IF(D23="","",IFERROR(INDEX('Chấm nhóm'!$W$5:$W$29,MATCH(D23,'Chấm nhóm'!$A$5:$A$29,0)),""))</f>
        <v/>
      </c>
      <c r="I23" s="13">
        <f>IF(OR(G23="",F23=""),"",G23+F23)</f>
        <v/>
      </c>
      <c r="J23" s="13">
        <f>IF(I23="","",ROUND(IF(H23="Có",IF($C$4="Phần nhóm",MIN(7,G23)+F23,MIN(8,I23)),I23)*4,0)/4)</f>
        <v/>
      </c>
      <c r="K23" s="8">
        <f>IF(J23="","",IF(J23&gt;=9,"Xuất sắc",IF(J23&gt;=8,"Giỏi",IF(J23&gt;=6.5,"Khá",IF(J23&gt;=5,"Trung bình",IF(J23&gt;=3,"Yếu","Kém"))))))</f>
        <v/>
      </c>
      <c r="L23" s="14">
        <f>IF(B23="","",IF(D23="","Chưa chọn nhóm",IF(ISNA(MATCH(D23,'Chấm nhóm'!$A$5:$A$29,0)),"Mã nhóm không có",IF(F23="","Chưa nhập D",IF(COUNTIF($B$7:$B$66,B23)&gt;1,"MSSV bị trùng","OK")))))</f>
        <v/>
      </c>
      <c r="M23" s="11" t="n"/>
    </row>
    <row r="24">
      <c r="A24" s="5">
        <f>IF(B24="","",ROW()-6)</f>
        <v/>
      </c>
      <c r="B24" s="10" t="n"/>
      <c r="C24" s="11" t="n"/>
      <c r="D24" s="10" t="n"/>
      <c r="E24" s="10" t="n"/>
      <c r="F24" s="12" t="n"/>
      <c r="G24" s="13">
        <f>IF(D24="","",IFERROR(INDEX('Chấm nhóm'!$V$5:$V$29,MATCH(D24,'Chấm nhóm'!$A$5:$A$29,0)),""))</f>
        <v/>
      </c>
      <c r="H24" s="8">
        <f>IF(D24="","",IFERROR(INDEX('Chấm nhóm'!$W$5:$W$29,MATCH(D24,'Chấm nhóm'!$A$5:$A$29,0)),""))</f>
        <v/>
      </c>
      <c r="I24" s="13">
        <f>IF(OR(G24="",F24=""),"",G24+F24)</f>
        <v/>
      </c>
      <c r="J24" s="13">
        <f>IF(I24="","",ROUND(IF(H24="Có",IF($C$4="Phần nhóm",MIN(7,G24)+F24,MIN(8,I24)),I24)*4,0)/4)</f>
        <v/>
      </c>
      <c r="K24" s="8">
        <f>IF(J24="","",IF(J24&gt;=9,"Xuất sắc",IF(J24&gt;=8,"Giỏi",IF(J24&gt;=6.5,"Khá",IF(J24&gt;=5,"Trung bình",IF(J24&gt;=3,"Yếu","Kém"))))))</f>
        <v/>
      </c>
      <c r="L24" s="14">
        <f>IF(B24="","",IF(D24="","Chưa chọn nhóm",IF(ISNA(MATCH(D24,'Chấm nhóm'!$A$5:$A$29,0)),"Mã nhóm không có",IF(F24="","Chưa nhập D",IF(COUNTIF($B$7:$B$66,B24)&gt;1,"MSSV bị trùng","OK")))))</f>
        <v/>
      </c>
      <c r="M24" s="11" t="n"/>
    </row>
    <row r="25">
      <c r="A25" s="5">
        <f>IF(B25="","",ROW()-6)</f>
        <v/>
      </c>
      <c r="B25" s="10" t="n"/>
      <c r="C25" s="11" t="n"/>
      <c r="D25" s="10" t="n"/>
      <c r="E25" s="10" t="n"/>
      <c r="F25" s="12" t="n"/>
      <c r="G25" s="13">
        <f>IF(D25="","",IFERROR(INDEX('Chấm nhóm'!$V$5:$V$29,MATCH(D25,'Chấm nhóm'!$A$5:$A$29,0)),""))</f>
        <v/>
      </c>
      <c r="H25" s="8">
        <f>IF(D25="","",IFERROR(INDEX('Chấm nhóm'!$W$5:$W$29,MATCH(D25,'Chấm nhóm'!$A$5:$A$29,0)),""))</f>
        <v/>
      </c>
      <c r="I25" s="13">
        <f>IF(OR(G25="",F25=""),"",G25+F25)</f>
        <v/>
      </c>
      <c r="J25" s="13">
        <f>IF(I25="","",ROUND(IF(H25="Có",IF($C$4="Phần nhóm",MIN(7,G25)+F25,MIN(8,I25)),I25)*4,0)/4)</f>
        <v/>
      </c>
      <c r="K25" s="8">
        <f>IF(J25="","",IF(J25&gt;=9,"Xuất sắc",IF(J25&gt;=8,"Giỏi",IF(J25&gt;=6.5,"Khá",IF(J25&gt;=5,"Trung bình",IF(J25&gt;=3,"Yếu","Kém"))))))</f>
        <v/>
      </c>
      <c r="L25" s="14">
        <f>IF(B25="","",IF(D25="","Chưa chọn nhóm",IF(ISNA(MATCH(D25,'Chấm nhóm'!$A$5:$A$29,0)),"Mã nhóm không có",IF(F25="","Chưa nhập D",IF(COUNTIF($B$7:$B$66,B25)&gt;1,"MSSV bị trùng","OK")))))</f>
        <v/>
      </c>
      <c r="M25" s="11" t="n"/>
    </row>
    <row r="26">
      <c r="A26" s="5">
        <f>IF(B26="","",ROW()-6)</f>
        <v/>
      </c>
      <c r="B26" s="10" t="n"/>
      <c r="C26" s="11" t="n"/>
      <c r="D26" s="10" t="n"/>
      <c r="E26" s="10" t="n"/>
      <c r="F26" s="12" t="n"/>
      <c r="G26" s="13">
        <f>IF(D26="","",IFERROR(INDEX('Chấm nhóm'!$V$5:$V$29,MATCH(D26,'Chấm nhóm'!$A$5:$A$29,0)),""))</f>
        <v/>
      </c>
      <c r="H26" s="8">
        <f>IF(D26="","",IFERROR(INDEX('Chấm nhóm'!$W$5:$W$29,MATCH(D26,'Chấm nhóm'!$A$5:$A$29,0)),""))</f>
        <v/>
      </c>
      <c r="I26" s="13">
        <f>IF(OR(G26="",F26=""),"",G26+F26)</f>
        <v/>
      </c>
      <c r="J26" s="13">
        <f>IF(I26="","",ROUND(IF(H26="Có",IF($C$4="Phần nhóm",MIN(7,G26)+F26,MIN(8,I26)),I26)*4,0)/4)</f>
        <v/>
      </c>
      <c r="K26" s="8">
        <f>IF(J26="","",IF(J26&gt;=9,"Xuất sắc",IF(J26&gt;=8,"Giỏi",IF(J26&gt;=6.5,"Khá",IF(J26&gt;=5,"Trung bình",IF(J26&gt;=3,"Yếu","Kém"))))))</f>
        <v/>
      </c>
      <c r="L26" s="14">
        <f>IF(B26="","",IF(D26="","Chưa chọn nhóm",IF(ISNA(MATCH(D26,'Chấm nhóm'!$A$5:$A$29,0)),"Mã nhóm không có",IF(F26="","Chưa nhập D",IF(COUNTIF($B$7:$B$66,B26)&gt;1,"MSSV bị trùng","OK")))))</f>
        <v/>
      </c>
      <c r="M26" s="11" t="n"/>
    </row>
    <row r="27">
      <c r="A27" s="5">
        <f>IF(B27="","",ROW()-6)</f>
        <v/>
      </c>
      <c r="B27" s="10" t="n"/>
      <c r="C27" s="11" t="n"/>
      <c r="D27" s="10" t="n"/>
      <c r="E27" s="10" t="n"/>
      <c r="F27" s="12" t="n"/>
      <c r="G27" s="13">
        <f>IF(D27="","",IFERROR(INDEX('Chấm nhóm'!$V$5:$V$29,MATCH(D27,'Chấm nhóm'!$A$5:$A$29,0)),""))</f>
        <v/>
      </c>
      <c r="H27" s="8">
        <f>IF(D27="","",IFERROR(INDEX('Chấm nhóm'!$W$5:$W$29,MATCH(D27,'Chấm nhóm'!$A$5:$A$29,0)),""))</f>
        <v/>
      </c>
      <c r="I27" s="13">
        <f>IF(OR(G27="",F27=""),"",G27+F27)</f>
        <v/>
      </c>
      <c r="J27" s="13">
        <f>IF(I27="","",ROUND(IF(H27="Có",IF($C$4="Phần nhóm",MIN(7,G27)+F27,MIN(8,I27)),I27)*4,0)/4)</f>
        <v/>
      </c>
      <c r="K27" s="8">
        <f>IF(J27="","",IF(J27&gt;=9,"Xuất sắc",IF(J27&gt;=8,"Giỏi",IF(J27&gt;=6.5,"Khá",IF(J27&gt;=5,"Trung bình",IF(J27&gt;=3,"Yếu","Kém"))))))</f>
        <v/>
      </c>
      <c r="L27" s="14">
        <f>IF(B27="","",IF(D27="","Chưa chọn nhóm",IF(ISNA(MATCH(D27,'Chấm nhóm'!$A$5:$A$29,0)),"Mã nhóm không có",IF(F27="","Chưa nhập D",IF(COUNTIF($B$7:$B$66,B27)&gt;1,"MSSV bị trùng","OK")))))</f>
        <v/>
      </c>
      <c r="M27" s="11" t="n"/>
    </row>
    <row r="28">
      <c r="A28" s="5">
        <f>IF(B28="","",ROW()-6)</f>
        <v/>
      </c>
      <c r="B28" s="10" t="n"/>
      <c r="C28" s="11" t="n"/>
      <c r="D28" s="10" t="n"/>
      <c r="E28" s="10" t="n"/>
      <c r="F28" s="12" t="n"/>
      <c r="G28" s="13">
        <f>IF(D28="","",IFERROR(INDEX('Chấm nhóm'!$V$5:$V$29,MATCH(D28,'Chấm nhóm'!$A$5:$A$29,0)),""))</f>
        <v/>
      </c>
      <c r="H28" s="8">
        <f>IF(D28="","",IFERROR(INDEX('Chấm nhóm'!$W$5:$W$29,MATCH(D28,'Chấm nhóm'!$A$5:$A$29,0)),""))</f>
        <v/>
      </c>
      <c r="I28" s="13">
        <f>IF(OR(G28="",F28=""),"",G28+F28)</f>
        <v/>
      </c>
      <c r="J28" s="13">
        <f>IF(I28="","",ROUND(IF(H28="Có",IF($C$4="Phần nhóm",MIN(7,G28)+F28,MIN(8,I28)),I28)*4,0)/4)</f>
        <v/>
      </c>
      <c r="K28" s="8">
        <f>IF(J28="","",IF(J28&gt;=9,"Xuất sắc",IF(J28&gt;=8,"Giỏi",IF(J28&gt;=6.5,"Khá",IF(J28&gt;=5,"Trung bình",IF(J28&gt;=3,"Yếu","Kém"))))))</f>
        <v/>
      </c>
      <c r="L28" s="14">
        <f>IF(B28="","",IF(D28="","Chưa chọn nhóm",IF(ISNA(MATCH(D28,'Chấm nhóm'!$A$5:$A$29,0)),"Mã nhóm không có",IF(F28="","Chưa nhập D",IF(COUNTIF($B$7:$B$66,B28)&gt;1,"MSSV bị trùng","OK")))))</f>
        <v/>
      </c>
      <c r="M28" s="11" t="n"/>
    </row>
    <row r="29">
      <c r="A29" s="5">
        <f>IF(B29="","",ROW()-6)</f>
        <v/>
      </c>
      <c r="B29" s="10" t="n"/>
      <c r="C29" s="11" t="n"/>
      <c r="D29" s="10" t="n"/>
      <c r="E29" s="10" t="n"/>
      <c r="F29" s="12" t="n"/>
      <c r="G29" s="13">
        <f>IF(D29="","",IFERROR(INDEX('Chấm nhóm'!$V$5:$V$29,MATCH(D29,'Chấm nhóm'!$A$5:$A$29,0)),""))</f>
        <v/>
      </c>
      <c r="H29" s="8">
        <f>IF(D29="","",IFERROR(INDEX('Chấm nhóm'!$W$5:$W$29,MATCH(D29,'Chấm nhóm'!$A$5:$A$29,0)),""))</f>
        <v/>
      </c>
      <c r="I29" s="13">
        <f>IF(OR(G29="",F29=""),"",G29+F29)</f>
        <v/>
      </c>
      <c r="J29" s="13">
        <f>IF(I29="","",ROUND(IF(H29="Có",IF($C$4="Phần nhóm",MIN(7,G29)+F29,MIN(8,I29)),I29)*4,0)/4)</f>
        <v/>
      </c>
      <c r="K29" s="8">
        <f>IF(J29="","",IF(J29&gt;=9,"Xuất sắc",IF(J29&gt;=8,"Giỏi",IF(J29&gt;=6.5,"Khá",IF(J29&gt;=5,"Trung bình",IF(J29&gt;=3,"Yếu","Kém"))))))</f>
        <v/>
      </c>
      <c r="L29" s="14">
        <f>IF(B29="","",IF(D29="","Chưa chọn nhóm",IF(ISNA(MATCH(D29,'Chấm nhóm'!$A$5:$A$29,0)),"Mã nhóm không có",IF(F29="","Chưa nhập D",IF(COUNTIF($B$7:$B$66,B29)&gt;1,"MSSV bị trùng","OK")))))</f>
        <v/>
      </c>
      <c r="M29" s="11" t="n"/>
    </row>
    <row r="30">
      <c r="A30" s="5">
        <f>IF(B30="","",ROW()-6)</f>
        <v/>
      </c>
      <c r="B30" s="10" t="n"/>
      <c r="C30" s="11" t="n"/>
      <c r="D30" s="10" t="n"/>
      <c r="E30" s="10" t="n"/>
      <c r="F30" s="12" t="n"/>
      <c r="G30" s="13">
        <f>IF(D30="","",IFERROR(INDEX('Chấm nhóm'!$V$5:$V$29,MATCH(D30,'Chấm nhóm'!$A$5:$A$29,0)),""))</f>
        <v/>
      </c>
      <c r="H30" s="8">
        <f>IF(D30="","",IFERROR(INDEX('Chấm nhóm'!$W$5:$W$29,MATCH(D30,'Chấm nhóm'!$A$5:$A$29,0)),""))</f>
        <v/>
      </c>
      <c r="I30" s="13">
        <f>IF(OR(G30="",F30=""),"",G30+F30)</f>
        <v/>
      </c>
      <c r="J30" s="13">
        <f>IF(I30="","",ROUND(IF(H30="Có",IF($C$4="Phần nhóm",MIN(7,G30)+F30,MIN(8,I30)),I30)*4,0)/4)</f>
        <v/>
      </c>
      <c r="K30" s="8">
        <f>IF(J30="","",IF(J30&gt;=9,"Xuất sắc",IF(J30&gt;=8,"Giỏi",IF(J30&gt;=6.5,"Khá",IF(J30&gt;=5,"Trung bình",IF(J30&gt;=3,"Yếu","Kém"))))))</f>
        <v/>
      </c>
      <c r="L30" s="14">
        <f>IF(B30="","",IF(D30="","Chưa chọn nhóm",IF(ISNA(MATCH(D30,'Chấm nhóm'!$A$5:$A$29,0)),"Mã nhóm không có",IF(F30="","Chưa nhập D",IF(COUNTIF($B$7:$B$66,B30)&gt;1,"MSSV bị trùng","OK")))))</f>
        <v/>
      </c>
      <c r="M30" s="11" t="n"/>
    </row>
    <row r="31">
      <c r="A31" s="5">
        <f>IF(B31="","",ROW()-6)</f>
        <v/>
      </c>
      <c r="B31" s="10" t="n"/>
      <c r="C31" s="11" t="n"/>
      <c r="D31" s="10" t="n"/>
      <c r="E31" s="10" t="n"/>
      <c r="F31" s="12" t="n"/>
      <c r="G31" s="13">
        <f>IF(D31="","",IFERROR(INDEX('Chấm nhóm'!$V$5:$V$29,MATCH(D31,'Chấm nhóm'!$A$5:$A$29,0)),""))</f>
        <v/>
      </c>
      <c r="H31" s="8">
        <f>IF(D31="","",IFERROR(INDEX('Chấm nhóm'!$W$5:$W$29,MATCH(D31,'Chấm nhóm'!$A$5:$A$29,0)),""))</f>
        <v/>
      </c>
      <c r="I31" s="13">
        <f>IF(OR(G31="",F31=""),"",G31+F31)</f>
        <v/>
      </c>
      <c r="J31" s="13">
        <f>IF(I31="","",ROUND(IF(H31="Có",IF($C$4="Phần nhóm",MIN(7,G31)+F31,MIN(8,I31)),I31)*4,0)/4)</f>
        <v/>
      </c>
      <c r="K31" s="8">
        <f>IF(J31="","",IF(J31&gt;=9,"Xuất sắc",IF(J31&gt;=8,"Giỏi",IF(J31&gt;=6.5,"Khá",IF(J31&gt;=5,"Trung bình",IF(J31&gt;=3,"Yếu","Kém"))))))</f>
        <v/>
      </c>
      <c r="L31" s="14">
        <f>IF(B31="","",IF(D31="","Chưa chọn nhóm",IF(ISNA(MATCH(D31,'Chấm nhóm'!$A$5:$A$29,0)),"Mã nhóm không có",IF(F31="","Chưa nhập D",IF(COUNTIF($B$7:$B$66,B31)&gt;1,"MSSV bị trùng","OK")))))</f>
        <v/>
      </c>
      <c r="M31" s="11" t="n"/>
    </row>
    <row r="32">
      <c r="A32" s="5">
        <f>IF(B32="","",ROW()-6)</f>
        <v/>
      </c>
      <c r="B32" s="10" t="n"/>
      <c r="C32" s="11" t="n"/>
      <c r="D32" s="10" t="n"/>
      <c r="E32" s="10" t="n"/>
      <c r="F32" s="12" t="n"/>
      <c r="G32" s="13">
        <f>IF(D32="","",IFERROR(INDEX('Chấm nhóm'!$V$5:$V$29,MATCH(D32,'Chấm nhóm'!$A$5:$A$29,0)),""))</f>
        <v/>
      </c>
      <c r="H32" s="8">
        <f>IF(D32="","",IFERROR(INDEX('Chấm nhóm'!$W$5:$W$29,MATCH(D32,'Chấm nhóm'!$A$5:$A$29,0)),""))</f>
        <v/>
      </c>
      <c r="I32" s="13">
        <f>IF(OR(G32="",F32=""),"",G32+F32)</f>
        <v/>
      </c>
      <c r="J32" s="13">
        <f>IF(I32="","",ROUND(IF(H32="Có",IF($C$4="Phần nhóm",MIN(7,G32)+F32,MIN(8,I32)),I32)*4,0)/4)</f>
        <v/>
      </c>
      <c r="K32" s="8">
        <f>IF(J32="","",IF(J32&gt;=9,"Xuất sắc",IF(J32&gt;=8,"Giỏi",IF(J32&gt;=6.5,"Khá",IF(J32&gt;=5,"Trung bình",IF(J32&gt;=3,"Yếu","Kém"))))))</f>
        <v/>
      </c>
      <c r="L32" s="14">
        <f>IF(B32="","",IF(D32="","Chưa chọn nhóm",IF(ISNA(MATCH(D32,'Chấm nhóm'!$A$5:$A$29,0)),"Mã nhóm không có",IF(F32="","Chưa nhập D",IF(COUNTIF($B$7:$B$66,B32)&gt;1,"MSSV bị trùng","OK")))))</f>
        <v/>
      </c>
      <c r="M32" s="11" t="n"/>
    </row>
    <row r="33">
      <c r="A33" s="5">
        <f>IF(B33="","",ROW()-6)</f>
        <v/>
      </c>
      <c r="B33" s="10" t="n"/>
      <c r="C33" s="11" t="n"/>
      <c r="D33" s="10" t="n"/>
      <c r="E33" s="10" t="n"/>
      <c r="F33" s="12" t="n"/>
      <c r="G33" s="13">
        <f>IF(D33="","",IFERROR(INDEX('Chấm nhóm'!$V$5:$V$29,MATCH(D33,'Chấm nhóm'!$A$5:$A$29,0)),""))</f>
        <v/>
      </c>
      <c r="H33" s="8">
        <f>IF(D33="","",IFERROR(INDEX('Chấm nhóm'!$W$5:$W$29,MATCH(D33,'Chấm nhóm'!$A$5:$A$29,0)),""))</f>
        <v/>
      </c>
      <c r="I33" s="13">
        <f>IF(OR(G33="",F33=""),"",G33+F33)</f>
        <v/>
      </c>
      <c r="J33" s="13">
        <f>IF(I33="","",ROUND(IF(H33="Có",IF($C$4="Phần nhóm",MIN(7,G33)+F33,MIN(8,I33)),I33)*4,0)/4)</f>
        <v/>
      </c>
      <c r="K33" s="8">
        <f>IF(J33="","",IF(J33&gt;=9,"Xuất sắc",IF(J33&gt;=8,"Giỏi",IF(J33&gt;=6.5,"Khá",IF(J33&gt;=5,"Trung bình",IF(J33&gt;=3,"Yếu","Kém"))))))</f>
        <v/>
      </c>
      <c r="L33" s="14">
        <f>IF(B33="","",IF(D33="","Chưa chọn nhóm",IF(ISNA(MATCH(D33,'Chấm nhóm'!$A$5:$A$29,0)),"Mã nhóm không có",IF(F33="","Chưa nhập D",IF(COUNTIF($B$7:$B$66,B33)&gt;1,"MSSV bị trùng","OK")))))</f>
        <v/>
      </c>
      <c r="M33" s="11" t="n"/>
    </row>
    <row r="34">
      <c r="A34" s="5">
        <f>IF(B34="","",ROW()-6)</f>
        <v/>
      </c>
      <c r="B34" s="10" t="n"/>
      <c r="C34" s="11" t="n"/>
      <c r="D34" s="10" t="n"/>
      <c r="E34" s="10" t="n"/>
      <c r="F34" s="12" t="n"/>
      <c r="G34" s="13">
        <f>IF(D34="","",IFERROR(INDEX('Chấm nhóm'!$V$5:$V$29,MATCH(D34,'Chấm nhóm'!$A$5:$A$29,0)),""))</f>
        <v/>
      </c>
      <c r="H34" s="8">
        <f>IF(D34="","",IFERROR(INDEX('Chấm nhóm'!$W$5:$W$29,MATCH(D34,'Chấm nhóm'!$A$5:$A$29,0)),""))</f>
        <v/>
      </c>
      <c r="I34" s="13">
        <f>IF(OR(G34="",F34=""),"",G34+F34)</f>
        <v/>
      </c>
      <c r="J34" s="13">
        <f>IF(I34="","",ROUND(IF(H34="Có",IF($C$4="Phần nhóm",MIN(7,G34)+F34,MIN(8,I34)),I34)*4,0)/4)</f>
        <v/>
      </c>
      <c r="K34" s="8">
        <f>IF(J34="","",IF(J34&gt;=9,"Xuất sắc",IF(J34&gt;=8,"Giỏi",IF(J34&gt;=6.5,"Khá",IF(J34&gt;=5,"Trung bình",IF(J34&gt;=3,"Yếu","Kém"))))))</f>
        <v/>
      </c>
      <c r="L34" s="14">
        <f>IF(B34="","",IF(D34="","Chưa chọn nhóm",IF(ISNA(MATCH(D34,'Chấm nhóm'!$A$5:$A$29,0)),"Mã nhóm không có",IF(F34="","Chưa nhập D",IF(COUNTIF($B$7:$B$66,B34)&gt;1,"MSSV bị trùng","OK")))))</f>
        <v/>
      </c>
      <c r="M34" s="11" t="n"/>
    </row>
    <row r="35">
      <c r="A35" s="5">
        <f>IF(B35="","",ROW()-6)</f>
        <v/>
      </c>
      <c r="B35" s="10" t="n"/>
      <c r="C35" s="11" t="n"/>
      <c r="D35" s="10" t="n"/>
      <c r="E35" s="10" t="n"/>
      <c r="F35" s="12" t="n"/>
      <c r="G35" s="13">
        <f>IF(D35="","",IFERROR(INDEX('Chấm nhóm'!$V$5:$V$29,MATCH(D35,'Chấm nhóm'!$A$5:$A$29,0)),""))</f>
        <v/>
      </c>
      <c r="H35" s="8">
        <f>IF(D35="","",IFERROR(INDEX('Chấm nhóm'!$W$5:$W$29,MATCH(D35,'Chấm nhóm'!$A$5:$A$29,0)),""))</f>
        <v/>
      </c>
      <c r="I35" s="13">
        <f>IF(OR(G35="",F35=""),"",G35+F35)</f>
        <v/>
      </c>
      <c r="J35" s="13">
        <f>IF(I35="","",ROUND(IF(H35="Có",IF($C$4="Phần nhóm",MIN(7,G35)+F35,MIN(8,I35)),I35)*4,0)/4)</f>
        <v/>
      </c>
      <c r="K35" s="8">
        <f>IF(J35="","",IF(J35&gt;=9,"Xuất sắc",IF(J35&gt;=8,"Giỏi",IF(J35&gt;=6.5,"Khá",IF(J35&gt;=5,"Trung bình",IF(J35&gt;=3,"Yếu","Kém"))))))</f>
        <v/>
      </c>
      <c r="L35" s="14">
        <f>IF(B35="","",IF(D35="","Chưa chọn nhóm",IF(ISNA(MATCH(D35,'Chấm nhóm'!$A$5:$A$29,0)),"Mã nhóm không có",IF(F35="","Chưa nhập D",IF(COUNTIF($B$7:$B$66,B35)&gt;1,"MSSV bị trùng","OK")))))</f>
        <v/>
      </c>
      <c r="M35" s="11" t="n"/>
    </row>
    <row r="36">
      <c r="A36" s="5">
        <f>IF(B36="","",ROW()-6)</f>
        <v/>
      </c>
      <c r="B36" s="10" t="n"/>
      <c r="C36" s="11" t="n"/>
      <c r="D36" s="10" t="n"/>
      <c r="E36" s="10" t="n"/>
      <c r="F36" s="12" t="n"/>
      <c r="G36" s="13">
        <f>IF(D36="","",IFERROR(INDEX('Chấm nhóm'!$V$5:$V$29,MATCH(D36,'Chấm nhóm'!$A$5:$A$29,0)),""))</f>
        <v/>
      </c>
      <c r="H36" s="8">
        <f>IF(D36="","",IFERROR(INDEX('Chấm nhóm'!$W$5:$W$29,MATCH(D36,'Chấm nhóm'!$A$5:$A$29,0)),""))</f>
        <v/>
      </c>
      <c r="I36" s="13">
        <f>IF(OR(G36="",F36=""),"",G36+F36)</f>
        <v/>
      </c>
      <c r="J36" s="13">
        <f>IF(I36="","",ROUND(IF(H36="Có",IF($C$4="Phần nhóm",MIN(7,G36)+F36,MIN(8,I36)),I36)*4,0)/4)</f>
        <v/>
      </c>
      <c r="K36" s="8">
        <f>IF(J36="","",IF(J36&gt;=9,"Xuất sắc",IF(J36&gt;=8,"Giỏi",IF(J36&gt;=6.5,"Khá",IF(J36&gt;=5,"Trung bình",IF(J36&gt;=3,"Yếu","Kém"))))))</f>
        <v/>
      </c>
      <c r="L36" s="14">
        <f>IF(B36="","",IF(D36="","Chưa chọn nhóm",IF(ISNA(MATCH(D36,'Chấm nhóm'!$A$5:$A$29,0)),"Mã nhóm không có",IF(F36="","Chưa nhập D",IF(COUNTIF($B$7:$B$66,B36)&gt;1,"MSSV bị trùng","OK")))))</f>
        <v/>
      </c>
      <c r="M36" s="11" t="n"/>
    </row>
    <row r="37">
      <c r="A37" s="5">
        <f>IF(B37="","",ROW()-6)</f>
        <v/>
      </c>
      <c r="B37" s="10" t="n"/>
      <c r="C37" s="11" t="n"/>
      <c r="D37" s="10" t="n"/>
      <c r="E37" s="10" t="n"/>
      <c r="F37" s="12" t="n"/>
      <c r="G37" s="13">
        <f>IF(D37="","",IFERROR(INDEX('Chấm nhóm'!$V$5:$V$29,MATCH(D37,'Chấm nhóm'!$A$5:$A$29,0)),""))</f>
        <v/>
      </c>
      <c r="H37" s="8">
        <f>IF(D37="","",IFERROR(INDEX('Chấm nhóm'!$W$5:$W$29,MATCH(D37,'Chấm nhóm'!$A$5:$A$29,0)),""))</f>
        <v/>
      </c>
      <c r="I37" s="13">
        <f>IF(OR(G37="",F37=""),"",G37+F37)</f>
        <v/>
      </c>
      <c r="J37" s="13">
        <f>IF(I37="","",ROUND(IF(H37="Có",IF($C$4="Phần nhóm",MIN(7,G37)+F37,MIN(8,I37)),I37)*4,0)/4)</f>
        <v/>
      </c>
      <c r="K37" s="8">
        <f>IF(J37="","",IF(J37&gt;=9,"Xuất sắc",IF(J37&gt;=8,"Giỏi",IF(J37&gt;=6.5,"Khá",IF(J37&gt;=5,"Trung bình",IF(J37&gt;=3,"Yếu","Kém"))))))</f>
        <v/>
      </c>
      <c r="L37" s="14">
        <f>IF(B37="","",IF(D37="","Chưa chọn nhóm",IF(ISNA(MATCH(D37,'Chấm nhóm'!$A$5:$A$29,0)),"Mã nhóm không có",IF(F37="","Chưa nhập D",IF(COUNTIF($B$7:$B$66,B37)&gt;1,"MSSV bị trùng","OK")))))</f>
        <v/>
      </c>
      <c r="M37" s="11" t="n"/>
    </row>
    <row r="38">
      <c r="A38" s="5">
        <f>IF(B38="","",ROW()-6)</f>
        <v/>
      </c>
      <c r="B38" s="10" t="n"/>
      <c r="C38" s="11" t="n"/>
      <c r="D38" s="10" t="n"/>
      <c r="E38" s="10" t="n"/>
      <c r="F38" s="12" t="n"/>
      <c r="G38" s="13">
        <f>IF(D38="","",IFERROR(INDEX('Chấm nhóm'!$V$5:$V$29,MATCH(D38,'Chấm nhóm'!$A$5:$A$29,0)),""))</f>
        <v/>
      </c>
      <c r="H38" s="8">
        <f>IF(D38="","",IFERROR(INDEX('Chấm nhóm'!$W$5:$W$29,MATCH(D38,'Chấm nhóm'!$A$5:$A$29,0)),""))</f>
        <v/>
      </c>
      <c r="I38" s="13">
        <f>IF(OR(G38="",F38=""),"",G38+F38)</f>
        <v/>
      </c>
      <c r="J38" s="13">
        <f>IF(I38="","",ROUND(IF(H38="Có",IF($C$4="Phần nhóm",MIN(7,G38)+F38,MIN(8,I38)),I38)*4,0)/4)</f>
        <v/>
      </c>
      <c r="K38" s="8">
        <f>IF(J38="","",IF(J38&gt;=9,"Xuất sắc",IF(J38&gt;=8,"Giỏi",IF(J38&gt;=6.5,"Khá",IF(J38&gt;=5,"Trung bình",IF(J38&gt;=3,"Yếu","Kém"))))))</f>
        <v/>
      </c>
      <c r="L38" s="14">
        <f>IF(B38="","",IF(D38="","Chưa chọn nhóm",IF(ISNA(MATCH(D38,'Chấm nhóm'!$A$5:$A$29,0)),"Mã nhóm không có",IF(F38="","Chưa nhập D",IF(COUNTIF($B$7:$B$66,B38)&gt;1,"MSSV bị trùng","OK")))))</f>
        <v/>
      </c>
      <c r="M38" s="11" t="n"/>
    </row>
    <row r="39">
      <c r="A39" s="5">
        <f>IF(B39="","",ROW()-6)</f>
        <v/>
      </c>
      <c r="B39" s="10" t="n"/>
      <c r="C39" s="11" t="n"/>
      <c r="D39" s="10" t="n"/>
      <c r="E39" s="10" t="n"/>
      <c r="F39" s="12" t="n"/>
      <c r="G39" s="13">
        <f>IF(D39="","",IFERROR(INDEX('Chấm nhóm'!$V$5:$V$29,MATCH(D39,'Chấm nhóm'!$A$5:$A$29,0)),""))</f>
        <v/>
      </c>
      <c r="H39" s="8">
        <f>IF(D39="","",IFERROR(INDEX('Chấm nhóm'!$W$5:$W$29,MATCH(D39,'Chấm nhóm'!$A$5:$A$29,0)),""))</f>
        <v/>
      </c>
      <c r="I39" s="13">
        <f>IF(OR(G39="",F39=""),"",G39+F39)</f>
        <v/>
      </c>
      <c r="J39" s="13">
        <f>IF(I39="","",ROUND(IF(H39="Có",IF($C$4="Phần nhóm",MIN(7,G39)+F39,MIN(8,I39)),I39)*4,0)/4)</f>
        <v/>
      </c>
      <c r="K39" s="8">
        <f>IF(J39="","",IF(J39&gt;=9,"Xuất sắc",IF(J39&gt;=8,"Giỏi",IF(J39&gt;=6.5,"Khá",IF(J39&gt;=5,"Trung bình",IF(J39&gt;=3,"Yếu","Kém"))))))</f>
        <v/>
      </c>
      <c r="L39" s="14">
        <f>IF(B39="","",IF(D39="","Chưa chọn nhóm",IF(ISNA(MATCH(D39,'Chấm nhóm'!$A$5:$A$29,0)),"Mã nhóm không có",IF(F39="","Chưa nhập D",IF(COUNTIF($B$7:$B$66,B39)&gt;1,"MSSV bị trùng","OK")))))</f>
        <v/>
      </c>
      <c r="M39" s="11" t="n"/>
    </row>
    <row r="40">
      <c r="A40" s="5">
        <f>IF(B40="","",ROW()-6)</f>
        <v/>
      </c>
      <c r="B40" s="10" t="n"/>
      <c r="C40" s="11" t="n"/>
      <c r="D40" s="10" t="n"/>
      <c r="E40" s="10" t="n"/>
      <c r="F40" s="12" t="n"/>
      <c r="G40" s="13">
        <f>IF(D40="","",IFERROR(INDEX('Chấm nhóm'!$V$5:$V$29,MATCH(D40,'Chấm nhóm'!$A$5:$A$29,0)),""))</f>
        <v/>
      </c>
      <c r="H40" s="8">
        <f>IF(D40="","",IFERROR(INDEX('Chấm nhóm'!$W$5:$W$29,MATCH(D40,'Chấm nhóm'!$A$5:$A$29,0)),""))</f>
        <v/>
      </c>
      <c r="I40" s="13">
        <f>IF(OR(G40="",F40=""),"",G40+F40)</f>
        <v/>
      </c>
      <c r="J40" s="13">
        <f>IF(I40="","",ROUND(IF(H40="Có",IF($C$4="Phần nhóm",MIN(7,G40)+F40,MIN(8,I40)),I40)*4,0)/4)</f>
        <v/>
      </c>
      <c r="K40" s="8">
        <f>IF(J40="","",IF(J40&gt;=9,"Xuất sắc",IF(J40&gt;=8,"Giỏi",IF(J40&gt;=6.5,"Khá",IF(J40&gt;=5,"Trung bình",IF(J40&gt;=3,"Yếu","Kém"))))))</f>
        <v/>
      </c>
      <c r="L40" s="14">
        <f>IF(B40="","",IF(D40="","Chưa chọn nhóm",IF(ISNA(MATCH(D40,'Chấm nhóm'!$A$5:$A$29,0)),"Mã nhóm không có",IF(F40="","Chưa nhập D",IF(COUNTIF($B$7:$B$66,B40)&gt;1,"MSSV bị trùng","OK")))))</f>
        <v/>
      </c>
      <c r="M40" s="11" t="n"/>
    </row>
    <row r="41">
      <c r="A41" s="5">
        <f>IF(B41="","",ROW()-6)</f>
        <v/>
      </c>
      <c r="B41" s="10" t="n"/>
      <c r="C41" s="11" t="n"/>
      <c r="D41" s="10" t="n"/>
      <c r="E41" s="10" t="n"/>
      <c r="F41" s="12" t="n"/>
      <c r="G41" s="13">
        <f>IF(D41="","",IFERROR(INDEX('Chấm nhóm'!$V$5:$V$29,MATCH(D41,'Chấm nhóm'!$A$5:$A$29,0)),""))</f>
        <v/>
      </c>
      <c r="H41" s="8">
        <f>IF(D41="","",IFERROR(INDEX('Chấm nhóm'!$W$5:$W$29,MATCH(D41,'Chấm nhóm'!$A$5:$A$29,0)),""))</f>
        <v/>
      </c>
      <c r="I41" s="13">
        <f>IF(OR(G41="",F41=""),"",G41+F41)</f>
        <v/>
      </c>
      <c r="J41" s="13">
        <f>IF(I41="","",ROUND(IF(H41="Có",IF($C$4="Phần nhóm",MIN(7,G41)+F41,MIN(8,I41)),I41)*4,0)/4)</f>
        <v/>
      </c>
      <c r="K41" s="8">
        <f>IF(J41="","",IF(J41&gt;=9,"Xuất sắc",IF(J41&gt;=8,"Giỏi",IF(J41&gt;=6.5,"Khá",IF(J41&gt;=5,"Trung bình",IF(J41&gt;=3,"Yếu","Kém"))))))</f>
        <v/>
      </c>
      <c r="L41" s="14">
        <f>IF(B41="","",IF(D41="","Chưa chọn nhóm",IF(ISNA(MATCH(D41,'Chấm nhóm'!$A$5:$A$29,0)),"Mã nhóm không có",IF(F41="","Chưa nhập D",IF(COUNTIF($B$7:$B$66,B41)&gt;1,"MSSV bị trùng","OK")))))</f>
        <v/>
      </c>
      <c r="M41" s="11" t="n"/>
    </row>
    <row r="42">
      <c r="A42" s="5">
        <f>IF(B42="","",ROW()-6)</f>
        <v/>
      </c>
      <c r="B42" s="10" t="n"/>
      <c r="C42" s="11" t="n"/>
      <c r="D42" s="10" t="n"/>
      <c r="E42" s="10" t="n"/>
      <c r="F42" s="12" t="n"/>
      <c r="G42" s="13">
        <f>IF(D42="","",IFERROR(INDEX('Chấm nhóm'!$V$5:$V$29,MATCH(D42,'Chấm nhóm'!$A$5:$A$29,0)),""))</f>
        <v/>
      </c>
      <c r="H42" s="8">
        <f>IF(D42="","",IFERROR(INDEX('Chấm nhóm'!$W$5:$W$29,MATCH(D42,'Chấm nhóm'!$A$5:$A$29,0)),""))</f>
        <v/>
      </c>
      <c r="I42" s="13">
        <f>IF(OR(G42="",F42=""),"",G42+F42)</f>
        <v/>
      </c>
      <c r="J42" s="13">
        <f>IF(I42="","",ROUND(IF(H42="Có",IF($C$4="Phần nhóm",MIN(7,G42)+F42,MIN(8,I42)),I42)*4,0)/4)</f>
        <v/>
      </c>
      <c r="K42" s="8">
        <f>IF(J42="","",IF(J42&gt;=9,"Xuất sắc",IF(J42&gt;=8,"Giỏi",IF(J42&gt;=6.5,"Khá",IF(J42&gt;=5,"Trung bình",IF(J42&gt;=3,"Yếu","Kém"))))))</f>
        <v/>
      </c>
      <c r="L42" s="14">
        <f>IF(B42="","",IF(D42="","Chưa chọn nhóm",IF(ISNA(MATCH(D42,'Chấm nhóm'!$A$5:$A$29,0)),"Mã nhóm không có",IF(F42="","Chưa nhập D",IF(COUNTIF($B$7:$B$66,B42)&gt;1,"MSSV bị trùng","OK")))))</f>
        <v/>
      </c>
      <c r="M42" s="11" t="n"/>
    </row>
    <row r="43">
      <c r="A43" s="5">
        <f>IF(B43="","",ROW()-6)</f>
        <v/>
      </c>
      <c r="B43" s="10" t="n"/>
      <c r="C43" s="11" t="n"/>
      <c r="D43" s="10" t="n"/>
      <c r="E43" s="10" t="n"/>
      <c r="F43" s="12" t="n"/>
      <c r="G43" s="13">
        <f>IF(D43="","",IFERROR(INDEX('Chấm nhóm'!$V$5:$V$29,MATCH(D43,'Chấm nhóm'!$A$5:$A$29,0)),""))</f>
        <v/>
      </c>
      <c r="H43" s="8">
        <f>IF(D43="","",IFERROR(INDEX('Chấm nhóm'!$W$5:$W$29,MATCH(D43,'Chấm nhóm'!$A$5:$A$29,0)),""))</f>
        <v/>
      </c>
      <c r="I43" s="13">
        <f>IF(OR(G43="",F43=""),"",G43+F43)</f>
        <v/>
      </c>
      <c r="J43" s="13">
        <f>IF(I43="","",ROUND(IF(H43="Có",IF($C$4="Phần nhóm",MIN(7,G43)+F43,MIN(8,I43)),I43)*4,0)/4)</f>
        <v/>
      </c>
      <c r="K43" s="8">
        <f>IF(J43="","",IF(J43&gt;=9,"Xuất sắc",IF(J43&gt;=8,"Giỏi",IF(J43&gt;=6.5,"Khá",IF(J43&gt;=5,"Trung bình",IF(J43&gt;=3,"Yếu","Kém"))))))</f>
        <v/>
      </c>
      <c r="L43" s="14">
        <f>IF(B43="","",IF(D43="","Chưa chọn nhóm",IF(ISNA(MATCH(D43,'Chấm nhóm'!$A$5:$A$29,0)),"Mã nhóm không có",IF(F43="","Chưa nhập D",IF(COUNTIF($B$7:$B$66,B43)&gt;1,"MSSV bị trùng","OK")))))</f>
        <v/>
      </c>
      <c r="M43" s="11" t="n"/>
    </row>
    <row r="44">
      <c r="A44" s="5">
        <f>IF(B44="","",ROW()-6)</f>
        <v/>
      </c>
      <c r="B44" s="10" t="n"/>
      <c r="C44" s="11" t="n"/>
      <c r="D44" s="10" t="n"/>
      <c r="E44" s="10" t="n"/>
      <c r="F44" s="12" t="n"/>
      <c r="G44" s="13">
        <f>IF(D44="","",IFERROR(INDEX('Chấm nhóm'!$V$5:$V$29,MATCH(D44,'Chấm nhóm'!$A$5:$A$29,0)),""))</f>
        <v/>
      </c>
      <c r="H44" s="8">
        <f>IF(D44="","",IFERROR(INDEX('Chấm nhóm'!$W$5:$W$29,MATCH(D44,'Chấm nhóm'!$A$5:$A$29,0)),""))</f>
        <v/>
      </c>
      <c r="I44" s="13">
        <f>IF(OR(G44="",F44=""),"",G44+F44)</f>
        <v/>
      </c>
      <c r="J44" s="13">
        <f>IF(I44="","",ROUND(IF(H44="Có",IF($C$4="Phần nhóm",MIN(7,G44)+F44,MIN(8,I44)),I44)*4,0)/4)</f>
        <v/>
      </c>
      <c r="K44" s="8">
        <f>IF(J44="","",IF(J44&gt;=9,"Xuất sắc",IF(J44&gt;=8,"Giỏi",IF(J44&gt;=6.5,"Khá",IF(J44&gt;=5,"Trung bình",IF(J44&gt;=3,"Yếu","Kém"))))))</f>
        <v/>
      </c>
      <c r="L44" s="14">
        <f>IF(B44="","",IF(D44="","Chưa chọn nhóm",IF(ISNA(MATCH(D44,'Chấm nhóm'!$A$5:$A$29,0)),"Mã nhóm không có",IF(F44="","Chưa nhập D",IF(COUNTIF($B$7:$B$66,B44)&gt;1,"MSSV bị trùng","OK")))))</f>
        <v/>
      </c>
      <c r="M44" s="11" t="n"/>
    </row>
    <row r="45">
      <c r="A45" s="5">
        <f>IF(B45="","",ROW()-6)</f>
        <v/>
      </c>
      <c r="B45" s="10" t="n"/>
      <c r="C45" s="11" t="n"/>
      <c r="D45" s="10" t="n"/>
      <c r="E45" s="10" t="n"/>
      <c r="F45" s="12" t="n"/>
      <c r="G45" s="13">
        <f>IF(D45="","",IFERROR(INDEX('Chấm nhóm'!$V$5:$V$29,MATCH(D45,'Chấm nhóm'!$A$5:$A$29,0)),""))</f>
        <v/>
      </c>
      <c r="H45" s="8">
        <f>IF(D45="","",IFERROR(INDEX('Chấm nhóm'!$W$5:$W$29,MATCH(D45,'Chấm nhóm'!$A$5:$A$29,0)),""))</f>
        <v/>
      </c>
      <c r="I45" s="13">
        <f>IF(OR(G45="",F45=""),"",G45+F45)</f>
        <v/>
      </c>
      <c r="J45" s="13">
        <f>IF(I45="","",ROUND(IF(H45="Có",IF($C$4="Phần nhóm",MIN(7,G45)+F45,MIN(8,I45)),I45)*4,0)/4)</f>
        <v/>
      </c>
      <c r="K45" s="8">
        <f>IF(J45="","",IF(J45&gt;=9,"Xuất sắc",IF(J45&gt;=8,"Giỏi",IF(J45&gt;=6.5,"Khá",IF(J45&gt;=5,"Trung bình",IF(J45&gt;=3,"Yếu","Kém"))))))</f>
        <v/>
      </c>
      <c r="L45" s="14">
        <f>IF(B45="","",IF(D45="","Chưa chọn nhóm",IF(ISNA(MATCH(D45,'Chấm nhóm'!$A$5:$A$29,0)),"Mã nhóm không có",IF(F45="","Chưa nhập D",IF(COUNTIF($B$7:$B$66,B45)&gt;1,"MSSV bị trùng","OK")))))</f>
        <v/>
      </c>
      <c r="M45" s="11" t="n"/>
    </row>
    <row r="46">
      <c r="A46" s="5">
        <f>IF(B46="","",ROW()-6)</f>
        <v/>
      </c>
      <c r="B46" s="10" t="n"/>
      <c r="C46" s="11" t="n"/>
      <c r="D46" s="10" t="n"/>
      <c r="E46" s="10" t="n"/>
      <c r="F46" s="12" t="n"/>
      <c r="G46" s="13">
        <f>IF(D46="","",IFERROR(INDEX('Chấm nhóm'!$V$5:$V$29,MATCH(D46,'Chấm nhóm'!$A$5:$A$29,0)),""))</f>
        <v/>
      </c>
      <c r="H46" s="8">
        <f>IF(D46="","",IFERROR(INDEX('Chấm nhóm'!$W$5:$W$29,MATCH(D46,'Chấm nhóm'!$A$5:$A$29,0)),""))</f>
        <v/>
      </c>
      <c r="I46" s="13">
        <f>IF(OR(G46="",F46=""),"",G46+F46)</f>
        <v/>
      </c>
      <c r="J46" s="13">
        <f>IF(I46="","",ROUND(IF(H46="Có",IF($C$4="Phần nhóm",MIN(7,G46)+F46,MIN(8,I46)),I46)*4,0)/4)</f>
        <v/>
      </c>
      <c r="K46" s="8">
        <f>IF(J46="","",IF(J46&gt;=9,"Xuất sắc",IF(J46&gt;=8,"Giỏi",IF(J46&gt;=6.5,"Khá",IF(J46&gt;=5,"Trung bình",IF(J46&gt;=3,"Yếu","Kém"))))))</f>
        <v/>
      </c>
      <c r="L46" s="14">
        <f>IF(B46="","",IF(D46="","Chưa chọn nhóm",IF(ISNA(MATCH(D46,'Chấm nhóm'!$A$5:$A$29,0)),"Mã nhóm không có",IF(F46="","Chưa nhập D",IF(COUNTIF($B$7:$B$66,B46)&gt;1,"MSSV bị trùng","OK")))))</f>
        <v/>
      </c>
      <c r="M46" s="11" t="n"/>
    </row>
    <row r="47">
      <c r="A47" s="5">
        <f>IF(B47="","",ROW()-6)</f>
        <v/>
      </c>
      <c r="B47" s="10" t="n"/>
      <c r="C47" s="11" t="n"/>
      <c r="D47" s="10" t="n"/>
      <c r="E47" s="10" t="n"/>
      <c r="F47" s="12" t="n"/>
      <c r="G47" s="13">
        <f>IF(D47="","",IFERROR(INDEX('Chấm nhóm'!$V$5:$V$29,MATCH(D47,'Chấm nhóm'!$A$5:$A$29,0)),""))</f>
        <v/>
      </c>
      <c r="H47" s="8">
        <f>IF(D47="","",IFERROR(INDEX('Chấm nhóm'!$W$5:$W$29,MATCH(D47,'Chấm nhóm'!$A$5:$A$29,0)),""))</f>
        <v/>
      </c>
      <c r="I47" s="13">
        <f>IF(OR(G47="",F47=""),"",G47+F47)</f>
        <v/>
      </c>
      <c r="J47" s="13">
        <f>IF(I47="","",ROUND(IF(H47="Có",IF($C$4="Phần nhóm",MIN(7,G47)+F47,MIN(8,I47)),I47)*4,0)/4)</f>
        <v/>
      </c>
      <c r="K47" s="8">
        <f>IF(J47="","",IF(J47&gt;=9,"Xuất sắc",IF(J47&gt;=8,"Giỏi",IF(J47&gt;=6.5,"Khá",IF(J47&gt;=5,"Trung bình",IF(J47&gt;=3,"Yếu","Kém"))))))</f>
        <v/>
      </c>
      <c r="L47" s="14">
        <f>IF(B47="","",IF(D47="","Chưa chọn nhóm",IF(ISNA(MATCH(D47,'Chấm nhóm'!$A$5:$A$29,0)),"Mã nhóm không có",IF(F47="","Chưa nhập D",IF(COUNTIF($B$7:$B$66,B47)&gt;1,"MSSV bị trùng","OK")))))</f>
        <v/>
      </c>
      <c r="M47" s="11" t="n"/>
    </row>
    <row r="48">
      <c r="A48" s="5">
        <f>IF(B48="","",ROW()-6)</f>
        <v/>
      </c>
      <c r="B48" s="10" t="n"/>
      <c r="C48" s="11" t="n"/>
      <c r="D48" s="10" t="n"/>
      <c r="E48" s="10" t="n"/>
      <c r="F48" s="12" t="n"/>
      <c r="G48" s="13">
        <f>IF(D48="","",IFERROR(INDEX('Chấm nhóm'!$V$5:$V$29,MATCH(D48,'Chấm nhóm'!$A$5:$A$29,0)),""))</f>
        <v/>
      </c>
      <c r="H48" s="8">
        <f>IF(D48="","",IFERROR(INDEX('Chấm nhóm'!$W$5:$W$29,MATCH(D48,'Chấm nhóm'!$A$5:$A$29,0)),""))</f>
        <v/>
      </c>
      <c r="I48" s="13">
        <f>IF(OR(G48="",F48=""),"",G48+F48)</f>
        <v/>
      </c>
      <c r="J48" s="13">
        <f>IF(I48="","",ROUND(IF(H48="Có",IF($C$4="Phần nhóm",MIN(7,G48)+F48,MIN(8,I48)),I48)*4,0)/4)</f>
        <v/>
      </c>
      <c r="K48" s="8">
        <f>IF(J48="","",IF(J48&gt;=9,"Xuất sắc",IF(J48&gt;=8,"Giỏi",IF(J48&gt;=6.5,"Khá",IF(J48&gt;=5,"Trung bình",IF(J48&gt;=3,"Yếu","Kém"))))))</f>
        <v/>
      </c>
      <c r="L48" s="14">
        <f>IF(B48="","",IF(D48="","Chưa chọn nhóm",IF(ISNA(MATCH(D48,'Chấm nhóm'!$A$5:$A$29,0)),"Mã nhóm không có",IF(F48="","Chưa nhập D",IF(COUNTIF($B$7:$B$66,B48)&gt;1,"MSSV bị trùng","OK")))))</f>
        <v/>
      </c>
      <c r="M48" s="11" t="n"/>
    </row>
    <row r="49">
      <c r="A49" s="5">
        <f>IF(B49="","",ROW()-6)</f>
        <v/>
      </c>
      <c r="B49" s="10" t="n"/>
      <c r="C49" s="11" t="n"/>
      <c r="D49" s="10" t="n"/>
      <c r="E49" s="10" t="n"/>
      <c r="F49" s="12" t="n"/>
      <c r="G49" s="13">
        <f>IF(D49="","",IFERROR(INDEX('Chấm nhóm'!$V$5:$V$29,MATCH(D49,'Chấm nhóm'!$A$5:$A$29,0)),""))</f>
        <v/>
      </c>
      <c r="H49" s="8">
        <f>IF(D49="","",IFERROR(INDEX('Chấm nhóm'!$W$5:$W$29,MATCH(D49,'Chấm nhóm'!$A$5:$A$29,0)),""))</f>
        <v/>
      </c>
      <c r="I49" s="13">
        <f>IF(OR(G49="",F49=""),"",G49+F49)</f>
        <v/>
      </c>
      <c r="J49" s="13">
        <f>IF(I49="","",ROUND(IF(H49="Có",IF($C$4="Phần nhóm",MIN(7,G49)+F49,MIN(8,I49)),I49)*4,0)/4)</f>
        <v/>
      </c>
      <c r="K49" s="8">
        <f>IF(J49="","",IF(J49&gt;=9,"Xuất sắc",IF(J49&gt;=8,"Giỏi",IF(J49&gt;=6.5,"Khá",IF(J49&gt;=5,"Trung bình",IF(J49&gt;=3,"Yếu","Kém"))))))</f>
        <v/>
      </c>
      <c r="L49" s="14">
        <f>IF(B49="","",IF(D49="","Chưa chọn nhóm",IF(ISNA(MATCH(D49,'Chấm nhóm'!$A$5:$A$29,0)),"Mã nhóm không có",IF(F49="","Chưa nhập D",IF(COUNTIF($B$7:$B$66,B49)&gt;1,"MSSV bị trùng","OK")))))</f>
        <v/>
      </c>
      <c r="M49" s="11" t="n"/>
    </row>
    <row r="50">
      <c r="A50" s="5">
        <f>IF(B50="","",ROW()-6)</f>
        <v/>
      </c>
      <c r="B50" s="10" t="n"/>
      <c r="C50" s="11" t="n"/>
      <c r="D50" s="10" t="n"/>
      <c r="E50" s="10" t="n"/>
      <c r="F50" s="12" t="n"/>
      <c r="G50" s="13">
        <f>IF(D50="","",IFERROR(INDEX('Chấm nhóm'!$V$5:$V$29,MATCH(D50,'Chấm nhóm'!$A$5:$A$29,0)),""))</f>
        <v/>
      </c>
      <c r="H50" s="8">
        <f>IF(D50="","",IFERROR(INDEX('Chấm nhóm'!$W$5:$W$29,MATCH(D50,'Chấm nhóm'!$A$5:$A$29,0)),""))</f>
        <v/>
      </c>
      <c r="I50" s="13">
        <f>IF(OR(G50="",F50=""),"",G50+F50)</f>
        <v/>
      </c>
      <c r="J50" s="13">
        <f>IF(I50="","",ROUND(IF(H50="Có",IF($C$4="Phần nhóm",MIN(7,G50)+F50,MIN(8,I50)),I50)*4,0)/4)</f>
        <v/>
      </c>
      <c r="K50" s="8">
        <f>IF(J50="","",IF(J50&gt;=9,"Xuất sắc",IF(J50&gt;=8,"Giỏi",IF(J50&gt;=6.5,"Khá",IF(J50&gt;=5,"Trung bình",IF(J50&gt;=3,"Yếu","Kém"))))))</f>
        <v/>
      </c>
      <c r="L50" s="14">
        <f>IF(B50="","",IF(D50="","Chưa chọn nhóm",IF(ISNA(MATCH(D50,'Chấm nhóm'!$A$5:$A$29,0)),"Mã nhóm không có",IF(F50="","Chưa nhập D",IF(COUNTIF($B$7:$B$66,B50)&gt;1,"MSSV bị trùng","OK")))))</f>
        <v/>
      </c>
      <c r="M50" s="11" t="n"/>
    </row>
    <row r="51">
      <c r="A51" s="5">
        <f>IF(B51="","",ROW()-6)</f>
        <v/>
      </c>
      <c r="B51" s="10" t="n"/>
      <c r="C51" s="11" t="n"/>
      <c r="D51" s="10" t="n"/>
      <c r="E51" s="10" t="n"/>
      <c r="F51" s="12" t="n"/>
      <c r="G51" s="13">
        <f>IF(D51="","",IFERROR(INDEX('Chấm nhóm'!$V$5:$V$29,MATCH(D51,'Chấm nhóm'!$A$5:$A$29,0)),""))</f>
        <v/>
      </c>
      <c r="H51" s="8">
        <f>IF(D51="","",IFERROR(INDEX('Chấm nhóm'!$W$5:$W$29,MATCH(D51,'Chấm nhóm'!$A$5:$A$29,0)),""))</f>
        <v/>
      </c>
      <c r="I51" s="13">
        <f>IF(OR(G51="",F51=""),"",G51+F51)</f>
        <v/>
      </c>
      <c r="J51" s="13">
        <f>IF(I51="","",ROUND(IF(H51="Có",IF($C$4="Phần nhóm",MIN(7,G51)+F51,MIN(8,I51)),I51)*4,0)/4)</f>
        <v/>
      </c>
      <c r="K51" s="8">
        <f>IF(J51="","",IF(J51&gt;=9,"Xuất sắc",IF(J51&gt;=8,"Giỏi",IF(J51&gt;=6.5,"Khá",IF(J51&gt;=5,"Trung bình",IF(J51&gt;=3,"Yếu","Kém"))))))</f>
        <v/>
      </c>
      <c r="L51" s="14">
        <f>IF(B51="","",IF(D51="","Chưa chọn nhóm",IF(ISNA(MATCH(D51,'Chấm nhóm'!$A$5:$A$29,0)),"Mã nhóm không có",IF(F51="","Chưa nhập D",IF(COUNTIF($B$7:$B$66,B51)&gt;1,"MSSV bị trùng","OK")))))</f>
        <v/>
      </c>
      <c r="M51" s="11" t="n"/>
    </row>
    <row r="52">
      <c r="A52" s="5">
        <f>IF(B52="","",ROW()-6)</f>
        <v/>
      </c>
      <c r="B52" s="10" t="n"/>
      <c r="C52" s="11" t="n"/>
      <c r="D52" s="10" t="n"/>
      <c r="E52" s="10" t="n"/>
      <c r="F52" s="12" t="n"/>
      <c r="G52" s="13">
        <f>IF(D52="","",IFERROR(INDEX('Chấm nhóm'!$V$5:$V$29,MATCH(D52,'Chấm nhóm'!$A$5:$A$29,0)),""))</f>
        <v/>
      </c>
      <c r="H52" s="8">
        <f>IF(D52="","",IFERROR(INDEX('Chấm nhóm'!$W$5:$W$29,MATCH(D52,'Chấm nhóm'!$A$5:$A$29,0)),""))</f>
        <v/>
      </c>
      <c r="I52" s="13">
        <f>IF(OR(G52="",F52=""),"",G52+F52)</f>
        <v/>
      </c>
      <c r="J52" s="13">
        <f>IF(I52="","",ROUND(IF(H52="Có",IF($C$4="Phần nhóm",MIN(7,G52)+F52,MIN(8,I52)),I52)*4,0)/4)</f>
        <v/>
      </c>
      <c r="K52" s="8">
        <f>IF(J52="","",IF(J52&gt;=9,"Xuất sắc",IF(J52&gt;=8,"Giỏi",IF(J52&gt;=6.5,"Khá",IF(J52&gt;=5,"Trung bình",IF(J52&gt;=3,"Yếu","Kém"))))))</f>
        <v/>
      </c>
      <c r="L52" s="14">
        <f>IF(B52="","",IF(D52="","Chưa chọn nhóm",IF(ISNA(MATCH(D52,'Chấm nhóm'!$A$5:$A$29,0)),"Mã nhóm không có",IF(F52="","Chưa nhập D",IF(COUNTIF($B$7:$B$66,B52)&gt;1,"MSSV bị trùng","OK")))))</f>
        <v/>
      </c>
      <c r="M52" s="11" t="n"/>
    </row>
    <row r="53">
      <c r="A53" s="5">
        <f>IF(B53="","",ROW()-6)</f>
        <v/>
      </c>
      <c r="B53" s="10" t="n"/>
      <c r="C53" s="11" t="n"/>
      <c r="D53" s="10" t="n"/>
      <c r="E53" s="10" t="n"/>
      <c r="F53" s="12" t="n"/>
      <c r="G53" s="13">
        <f>IF(D53="","",IFERROR(INDEX('Chấm nhóm'!$V$5:$V$29,MATCH(D53,'Chấm nhóm'!$A$5:$A$29,0)),""))</f>
        <v/>
      </c>
      <c r="H53" s="8">
        <f>IF(D53="","",IFERROR(INDEX('Chấm nhóm'!$W$5:$W$29,MATCH(D53,'Chấm nhóm'!$A$5:$A$29,0)),""))</f>
        <v/>
      </c>
      <c r="I53" s="13">
        <f>IF(OR(G53="",F53=""),"",G53+F53)</f>
        <v/>
      </c>
      <c r="J53" s="13">
        <f>IF(I53="","",ROUND(IF(H53="Có",IF($C$4="Phần nhóm",MIN(7,G53)+F53,MIN(8,I53)),I53)*4,0)/4)</f>
        <v/>
      </c>
      <c r="K53" s="8">
        <f>IF(J53="","",IF(J53&gt;=9,"Xuất sắc",IF(J53&gt;=8,"Giỏi",IF(J53&gt;=6.5,"Khá",IF(J53&gt;=5,"Trung bình",IF(J53&gt;=3,"Yếu","Kém"))))))</f>
        <v/>
      </c>
      <c r="L53" s="14">
        <f>IF(B53="","",IF(D53="","Chưa chọn nhóm",IF(ISNA(MATCH(D53,'Chấm nhóm'!$A$5:$A$29,0)),"Mã nhóm không có",IF(F53="","Chưa nhập D",IF(COUNTIF($B$7:$B$66,B53)&gt;1,"MSSV bị trùng","OK")))))</f>
        <v/>
      </c>
      <c r="M53" s="11" t="n"/>
    </row>
    <row r="54">
      <c r="A54" s="5">
        <f>IF(B54="","",ROW()-6)</f>
        <v/>
      </c>
      <c r="B54" s="10" t="n"/>
      <c r="C54" s="11" t="n"/>
      <c r="D54" s="10" t="n"/>
      <c r="E54" s="10" t="n"/>
      <c r="F54" s="12" t="n"/>
      <c r="G54" s="13">
        <f>IF(D54="","",IFERROR(INDEX('Chấm nhóm'!$V$5:$V$29,MATCH(D54,'Chấm nhóm'!$A$5:$A$29,0)),""))</f>
        <v/>
      </c>
      <c r="H54" s="8">
        <f>IF(D54="","",IFERROR(INDEX('Chấm nhóm'!$W$5:$W$29,MATCH(D54,'Chấm nhóm'!$A$5:$A$29,0)),""))</f>
        <v/>
      </c>
      <c r="I54" s="13">
        <f>IF(OR(G54="",F54=""),"",G54+F54)</f>
        <v/>
      </c>
      <c r="J54" s="13">
        <f>IF(I54="","",ROUND(IF(H54="Có",IF($C$4="Phần nhóm",MIN(7,G54)+F54,MIN(8,I54)),I54)*4,0)/4)</f>
        <v/>
      </c>
      <c r="K54" s="8">
        <f>IF(J54="","",IF(J54&gt;=9,"Xuất sắc",IF(J54&gt;=8,"Giỏi",IF(J54&gt;=6.5,"Khá",IF(J54&gt;=5,"Trung bình",IF(J54&gt;=3,"Yếu","Kém"))))))</f>
        <v/>
      </c>
      <c r="L54" s="14">
        <f>IF(B54="","",IF(D54="","Chưa chọn nhóm",IF(ISNA(MATCH(D54,'Chấm nhóm'!$A$5:$A$29,0)),"Mã nhóm không có",IF(F54="","Chưa nhập D",IF(COUNTIF($B$7:$B$66,B54)&gt;1,"MSSV bị trùng","OK")))))</f>
        <v/>
      </c>
      <c r="M54" s="11" t="n"/>
    </row>
    <row r="55">
      <c r="A55" s="5">
        <f>IF(B55="","",ROW()-6)</f>
        <v/>
      </c>
      <c r="B55" s="10" t="n"/>
      <c r="C55" s="11" t="n"/>
      <c r="D55" s="10" t="n"/>
      <c r="E55" s="10" t="n"/>
      <c r="F55" s="12" t="n"/>
      <c r="G55" s="13">
        <f>IF(D55="","",IFERROR(INDEX('Chấm nhóm'!$V$5:$V$29,MATCH(D55,'Chấm nhóm'!$A$5:$A$29,0)),""))</f>
        <v/>
      </c>
      <c r="H55" s="8">
        <f>IF(D55="","",IFERROR(INDEX('Chấm nhóm'!$W$5:$W$29,MATCH(D55,'Chấm nhóm'!$A$5:$A$29,0)),""))</f>
        <v/>
      </c>
      <c r="I55" s="13">
        <f>IF(OR(G55="",F55=""),"",G55+F55)</f>
        <v/>
      </c>
      <c r="J55" s="13">
        <f>IF(I55="","",ROUND(IF(H55="Có",IF($C$4="Phần nhóm",MIN(7,G55)+F55,MIN(8,I55)),I55)*4,0)/4)</f>
        <v/>
      </c>
      <c r="K55" s="8">
        <f>IF(J55="","",IF(J55&gt;=9,"Xuất sắc",IF(J55&gt;=8,"Giỏi",IF(J55&gt;=6.5,"Khá",IF(J55&gt;=5,"Trung bình",IF(J55&gt;=3,"Yếu","Kém"))))))</f>
        <v/>
      </c>
      <c r="L55" s="14">
        <f>IF(B55="","",IF(D55="","Chưa chọn nhóm",IF(ISNA(MATCH(D55,'Chấm nhóm'!$A$5:$A$29,0)),"Mã nhóm không có",IF(F55="","Chưa nhập D",IF(COUNTIF($B$7:$B$66,B55)&gt;1,"MSSV bị trùng","OK")))))</f>
        <v/>
      </c>
      <c r="M55" s="11" t="n"/>
    </row>
    <row r="56">
      <c r="A56" s="5">
        <f>IF(B56="","",ROW()-6)</f>
        <v/>
      </c>
      <c r="B56" s="10" t="n"/>
      <c r="C56" s="11" t="n"/>
      <c r="D56" s="10" t="n"/>
      <c r="E56" s="10" t="n"/>
      <c r="F56" s="12" t="n"/>
      <c r="G56" s="13">
        <f>IF(D56="","",IFERROR(INDEX('Chấm nhóm'!$V$5:$V$29,MATCH(D56,'Chấm nhóm'!$A$5:$A$29,0)),""))</f>
        <v/>
      </c>
      <c r="H56" s="8">
        <f>IF(D56="","",IFERROR(INDEX('Chấm nhóm'!$W$5:$W$29,MATCH(D56,'Chấm nhóm'!$A$5:$A$29,0)),""))</f>
        <v/>
      </c>
      <c r="I56" s="13">
        <f>IF(OR(G56="",F56=""),"",G56+F56)</f>
        <v/>
      </c>
      <c r="J56" s="13">
        <f>IF(I56="","",ROUND(IF(H56="Có",IF($C$4="Phần nhóm",MIN(7,G56)+F56,MIN(8,I56)),I56)*4,0)/4)</f>
        <v/>
      </c>
      <c r="K56" s="8">
        <f>IF(J56="","",IF(J56&gt;=9,"Xuất sắc",IF(J56&gt;=8,"Giỏi",IF(J56&gt;=6.5,"Khá",IF(J56&gt;=5,"Trung bình",IF(J56&gt;=3,"Yếu","Kém"))))))</f>
        <v/>
      </c>
      <c r="L56" s="14">
        <f>IF(B56="","",IF(D56="","Chưa chọn nhóm",IF(ISNA(MATCH(D56,'Chấm nhóm'!$A$5:$A$29,0)),"Mã nhóm không có",IF(F56="","Chưa nhập D",IF(COUNTIF($B$7:$B$66,B56)&gt;1,"MSSV bị trùng","OK")))))</f>
        <v/>
      </c>
      <c r="M56" s="11" t="n"/>
    </row>
    <row r="57">
      <c r="A57" s="5">
        <f>IF(B57="","",ROW()-6)</f>
        <v/>
      </c>
      <c r="B57" s="10" t="n"/>
      <c r="C57" s="11" t="n"/>
      <c r="D57" s="10" t="n"/>
      <c r="E57" s="10" t="n"/>
      <c r="F57" s="12" t="n"/>
      <c r="G57" s="13">
        <f>IF(D57="","",IFERROR(INDEX('Chấm nhóm'!$V$5:$V$29,MATCH(D57,'Chấm nhóm'!$A$5:$A$29,0)),""))</f>
        <v/>
      </c>
      <c r="H57" s="8">
        <f>IF(D57="","",IFERROR(INDEX('Chấm nhóm'!$W$5:$W$29,MATCH(D57,'Chấm nhóm'!$A$5:$A$29,0)),""))</f>
        <v/>
      </c>
      <c r="I57" s="13">
        <f>IF(OR(G57="",F57=""),"",G57+F57)</f>
        <v/>
      </c>
      <c r="J57" s="13">
        <f>IF(I57="","",ROUND(IF(H57="Có",IF($C$4="Phần nhóm",MIN(7,G57)+F57,MIN(8,I57)),I57)*4,0)/4)</f>
        <v/>
      </c>
      <c r="K57" s="8">
        <f>IF(J57="","",IF(J57&gt;=9,"Xuất sắc",IF(J57&gt;=8,"Giỏi",IF(J57&gt;=6.5,"Khá",IF(J57&gt;=5,"Trung bình",IF(J57&gt;=3,"Yếu","Kém"))))))</f>
        <v/>
      </c>
      <c r="L57" s="14">
        <f>IF(B57="","",IF(D57="","Chưa chọn nhóm",IF(ISNA(MATCH(D57,'Chấm nhóm'!$A$5:$A$29,0)),"Mã nhóm không có",IF(F57="","Chưa nhập D",IF(COUNTIF($B$7:$B$66,B57)&gt;1,"MSSV bị trùng","OK")))))</f>
        <v/>
      </c>
      <c r="M57" s="11" t="n"/>
    </row>
    <row r="58">
      <c r="A58" s="5">
        <f>IF(B58="","",ROW()-6)</f>
        <v/>
      </c>
      <c r="B58" s="10" t="n"/>
      <c r="C58" s="11" t="n"/>
      <c r="D58" s="10" t="n"/>
      <c r="E58" s="10" t="n"/>
      <c r="F58" s="12" t="n"/>
      <c r="G58" s="13">
        <f>IF(D58="","",IFERROR(INDEX('Chấm nhóm'!$V$5:$V$29,MATCH(D58,'Chấm nhóm'!$A$5:$A$29,0)),""))</f>
        <v/>
      </c>
      <c r="H58" s="8">
        <f>IF(D58="","",IFERROR(INDEX('Chấm nhóm'!$W$5:$W$29,MATCH(D58,'Chấm nhóm'!$A$5:$A$29,0)),""))</f>
        <v/>
      </c>
      <c r="I58" s="13">
        <f>IF(OR(G58="",F58=""),"",G58+F58)</f>
        <v/>
      </c>
      <c r="J58" s="13">
        <f>IF(I58="","",ROUND(IF(H58="Có",IF($C$4="Phần nhóm",MIN(7,G58)+F58,MIN(8,I58)),I58)*4,0)/4)</f>
        <v/>
      </c>
      <c r="K58" s="8">
        <f>IF(J58="","",IF(J58&gt;=9,"Xuất sắc",IF(J58&gt;=8,"Giỏi",IF(J58&gt;=6.5,"Khá",IF(J58&gt;=5,"Trung bình",IF(J58&gt;=3,"Yếu","Kém"))))))</f>
        <v/>
      </c>
      <c r="L58" s="14">
        <f>IF(B58="","",IF(D58="","Chưa chọn nhóm",IF(ISNA(MATCH(D58,'Chấm nhóm'!$A$5:$A$29,0)),"Mã nhóm không có",IF(F58="","Chưa nhập D",IF(COUNTIF($B$7:$B$66,B58)&gt;1,"MSSV bị trùng","OK")))))</f>
        <v/>
      </c>
      <c r="M58" s="11" t="n"/>
    </row>
    <row r="59">
      <c r="A59" s="5">
        <f>IF(B59="","",ROW()-6)</f>
        <v/>
      </c>
      <c r="B59" s="10" t="n"/>
      <c r="C59" s="11" t="n"/>
      <c r="D59" s="10" t="n"/>
      <c r="E59" s="10" t="n"/>
      <c r="F59" s="12" t="n"/>
      <c r="G59" s="13">
        <f>IF(D59="","",IFERROR(INDEX('Chấm nhóm'!$V$5:$V$29,MATCH(D59,'Chấm nhóm'!$A$5:$A$29,0)),""))</f>
        <v/>
      </c>
      <c r="H59" s="8">
        <f>IF(D59="","",IFERROR(INDEX('Chấm nhóm'!$W$5:$W$29,MATCH(D59,'Chấm nhóm'!$A$5:$A$29,0)),""))</f>
        <v/>
      </c>
      <c r="I59" s="13">
        <f>IF(OR(G59="",F59=""),"",G59+F59)</f>
        <v/>
      </c>
      <c r="J59" s="13">
        <f>IF(I59="","",ROUND(IF(H59="Có",IF($C$4="Phần nhóm",MIN(7,G59)+F59,MIN(8,I59)),I59)*4,0)/4)</f>
        <v/>
      </c>
      <c r="K59" s="8">
        <f>IF(J59="","",IF(J59&gt;=9,"Xuất sắc",IF(J59&gt;=8,"Giỏi",IF(J59&gt;=6.5,"Khá",IF(J59&gt;=5,"Trung bình",IF(J59&gt;=3,"Yếu","Kém"))))))</f>
        <v/>
      </c>
      <c r="L59" s="14">
        <f>IF(B59="","",IF(D59="","Chưa chọn nhóm",IF(ISNA(MATCH(D59,'Chấm nhóm'!$A$5:$A$29,0)),"Mã nhóm không có",IF(F59="","Chưa nhập D",IF(COUNTIF($B$7:$B$66,B59)&gt;1,"MSSV bị trùng","OK")))))</f>
        <v/>
      </c>
      <c r="M59" s="11" t="n"/>
    </row>
    <row r="60">
      <c r="A60" s="5">
        <f>IF(B60="","",ROW()-6)</f>
        <v/>
      </c>
      <c r="B60" s="10" t="n"/>
      <c r="C60" s="11" t="n"/>
      <c r="D60" s="10" t="n"/>
      <c r="E60" s="10" t="n"/>
      <c r="F60" s="12" t="n"/>
      <c r="G60" s="13">
        <f>IF(D60="","",IFERROR(INDEX('Chấm nhóm'!$V$5:$V$29,MATCH(D60,'Chấm nhóm'!$A$5:$A$29,0)),""))</f>
        <v/>
      </c>
      <c r="H60" s="8">
        <f>IF(D60="","",IFERROR(INDEX('Chấm nhóm'!$W$5:$W$29,MATCH(D60,'Chấm nhóm'!$A$5:$A$29,0)),""))</f>
        <v/>
      </c>
      <c r="I60" s="13">
        <f>IF(OR(G60="",F60=""),"",G60+F60)</f>
        <v/>
      </c>
      <c r="J60" s="13">
        <f>IF(I60="","",ROUND(IF(H60="Có",IF($C$4="Phần nhóm",MIN(7,G60)+F60,MIN(8,I60)),I60)*4,0)/4)</f>
        <v/>
      </c>
      <c r="K60" s="8">
        <f>IF(J60="","",IF(J60&gt;=9,"Xuất sắc",IF(J60&gt;=8,"Giỏi",IF(J60&gt;=6.5,"Khá",IF(J60&gt;=5,"Trung bình",IF(J60&gt;=3,"Yếu","Kém"))))))</f>
        <v/>
      </c>
      <c r="L60" s="14">
        <f>IF(B60="","",IF(D60="","Chưa chọn nhóm",IF(ISNA(MATCH(D60,'Chấm nhóm'!$A$5:$A$29,0)),"Mã nhóm không có",IF(F60="","Chưa nhập D",IF(COUNTIF($B$7:$B$66,B60)&gt;1,"MSSV bị trùng","OK")))))</f>
        <v/>
      </c>
      <c r="M60" s="11" t="n"/>
    </row>
    <row r="61">
      <c r="A61" s="5">
        <f>IF(B61="","",ROW()-6)</f>
        <v/>
      </c>
      <c r="B61" s="10" t="n"/>
      <c r="C61" s="11" t="n"/>
      <c r="D61" s="10" t="n"/>
      <c r="E61" s="10" t="n"/>
      <c r="F61" s="12" t="n"/>
      <c r="G61" s="13">
        <f>IF(D61="","",IFERROR(INDEX('Chấm nhóm'!$V$5:$V$29,MATCH(D61,'Chấm nhóm'!$A$5:$A$29,0)),""))</f>
        <v/>
      </c>
      <c r="H61" s="8">
        <f>IF(D61="","",IFERROR(INDEX('Chấm nhóm'!$W$5:$W$29,MATCH(D61,'Chấm nhóm'!$A$5:$A$29,0)),""))</f>
        <v/>
      </c>
      <c r="I61" s="13">
        <f>IF(OR(G61="",F61=""),"",G61+F61)</f>
        <v/>
      </c>
      <c r="J61" s="13">
        <f>IF(I61="","",ROUND(IF(H61="Có",IF($C$4="Phần nhóm",MIN(7,G61)+F61,MIN(8,I61)),I61)*4,0)/4)</f>
        <v/>
      </c>
      <c r="K61" s="8">
        <f>IF(J61="","",IF(J61&gt;=9,"Xuất sắc",IF(J61&gt;=8,"Giỏi",IF(J61&gt;=6.5,"Khá",IF(J61&gt;=5,"Trung bình",IF(J61&gt;=3,"Yếu","Kém"))))))</f>
        <v/>
      </c>
      <c r="L61" s="14">
        <f>IF(B61="","",IF(D61="","Chưa chọn nhóm",IF(ISNA(MATCH(D61,'Chấm nhóm'!$A$5:$A$29,0)),"Mã nhóm không có",IF(F61="","Chưa nhập D",IF(COUNTIF($B$7:$B$66,B61)&gt;1,"MSSV bị trùng","OK")))))</f>
        <v/>
      </c>
      <c r="M61" s="11" t="n"/>
    </row>
    <row r="62">
      <c r="A62" s="5">
        <f>IF(B62="","",ROW()-6)</f>
        <v/>
      </c>
      <c r="B62" s="10" t="n"/>
      <c r="C62" s="11" t="n"/>
      <c r="D62" s="10" t="n"/>
      <c r="E62" s="10" t="n"/>
      <c r="F62" s="12" t="n"/>
      <c r="G62" s="13">
        <f>IF(D62="","",IFERROR(INDEX('Chấm nhóm'!$V$5:$V$29,MATCH(D62,'Chấm nhóm'!$A$5:$A$29,0)),""))</f>
        <v/>
      </c>
      <c r="H62" s="8">
        <f>IF(D62="","",IFERROR(INDEX('Chấm nhóm'!$W$5:$W$29,MATCH(D62,'Chấm nhóm'!$A$5:$A$29,0)),""))</f>
        <v/>
      </c>
      <c r="I62" s="13">
        <f>IF(OR(G62="",F62=""),"",G62+F62)</f>
        <v/>
      </c>
      <c r="J62" s="13">
        <f>IF(I62="","",ROUND(IF(H62="Có",IF($C$4="Phần nhóm",MIN(7,G62)+F62,MIN(8,I62)),I62)*4,0)/4)</f>
        <v/>
      </c>
      <c r="K62" s="8">
        <f>IF(J62="","",IF(J62&gt;=9,"Xuất sắc",IF(J62&gt;=8,"Giỏi",IF(J62&gt;=6.5,"Khá",IF(J62&gt;=5,"Trung bình",IF(J62&gt;=3,"Yếu","Kém"))))))</f>
        <v/>
      </c>
      <c r="L62" s="14">
        <f>IF(B62="","",IF(D62="","Chưa chọn nhóm",IF(ISNA(MATCH(D62,'Chấm nhóm'!$A$5:$A$29,0)),"Mã nhóm không có",IF(F62="","Chưa nhập D",IF(COUNTIF($B$7:$B$66,B62)&gt;1,"MSSV bị trùng","OK")))))</f>
        <v/>
      </c>
      <c r="M62" s="11" t="n"/>
    </row>
    <row r="63">
      <c r="A63" s="5">
        <f>IF(B63="","",ROW()-6)</f>
        <v/>
      </c>
      <c r="B63" s="10" t="n"/>
      <c r="C63" s="11" t="n"/>
      <c r="D63" s="10" t="n"/>
      <c r="E63" s="10" t="n"/>
      <c r="F63" s="12" t="n"/>
      <c r="G63" s="13">
        <f>IF(D63="","",IFERROR(INDEX('Chấm nhóm'!$V$5:$V$29,MATCH(D63,'Chấm nhóm'!$A$5:$A$29,0)),""))</f>
        <v/>
      </c>
      <c r="H63" s="8">
        <f>IF(D63="","",IFERROR(INDEX('Chấm nhóm'!$W$5:$W$29,MATCH(D63,'Chấm nhóm'!$A$5:$A$29,0)),""))</f>
        <v/>
      </c>
      <c r="I63" s="13">
        <f>IF(OR(G63="",F63=""),"",G63+F63)</f>
        <v/>
      </c>
      <c r="J63" s="13">
        <f>IF(I63="","",ROUND(IF(H63="Có",IF($C$4="Phần nhóm",MIN(7,G63)+F63,MIN(8,I63)),I63)*4,0)/4)</f>
        <v/>
      </c>
      <c r="K63" s="8">
        <f>IF(J63="","",IF(J63&gt;=9,"Xuất sắc",IF(J63&gt;=8,"Giỏi",IF(J63&gt;=6.5,"Khá",IF(J63&gt;=5,"Trung bình",IF(J63&gt;=3,"Yếu","Kém"))))))</f>
        <v/>
      </c>
      <c r="L63" s="14">
        <f>IF(B63="","",IF(D63="","Chưa chọn nhóm",IF(ISNA(MATCH(D63,'Chấm nhóm'!$A$5:$A$29,0)),"Mã nhóm không có",IF(F63="","Chưa nhập D",IF(COUNTIF($B$7:$B$66,B63)&gt;1,"MSSV bị trùng","OK")))))</f>
        <v/>
      </c>
      <c r="M63" s="11" t="n"/>
    </row>
    <row r="64">
      <c r="A64" s="5">
        <f>IF(B64="","",ROW()-6)</f>
        <v/>
      </c>
      <c r="B64" s="10" t="n"/>
      <c r="C64" s="11" t="n"/>
      <c r="D64" s="10" t="n"/>
      <c r="E64" s="10" t="n"/>
      <c r="F64" s="12" t="n"/>
      <c r="G64" s="13">
        <f>IF(D64="","",IFERROR(INDEX('Chấm nhóm'!$V$5:$V$29,MATCH(D64,'Chấm nhóm'!$A$5:$A$29,0)),""))</f>
        <v/>
      </c>
      <c r="H64" s="8">
        <f>IF(D64="","",IFERROR(INDEX('Chấm nhóm'!$W$5:$W$29,MATCH(D64,'Chấm nhóm'!$A$5:$A$29,0)),""))</f>
        <v/>
      </c>
      <c r="I64" s="13">
        <f>IF(OR(G64="",F64=""),"",G64+F64)</f>
        <v/>
      </c>
      <c r="J64" s="13">
        <f>IF(I64="","",ROUND(IF(H64="Có",IF($C$4="Phần nhóm",MIN(7,G64)+F64,MIN(8,I64)),I64)*4,0)/4)</f>
        <v/>
      </c>
      <c r="K64" s="8">
        <f>IF(J64="","",IF(J64&gt;=9,"Xuất sắc",IF(J64&gt;=8,"Giỏi",IF(J64&gt;=6.5,"Khá",IF(J64&gt;=5,"Trung bình",IF(J64&gt;=3,"Yếu","Kém"))))))</f>
        <v/>
      </c>
      <c r="L64" s="14">
        <f>IF(B64="","",IF(D64="","Chưa chọn nhóm",IF(ISNA(MATCH(D64,'Chấm nhóm'!$A$5:$A$29,0)),"Mã nhóm không có",IF(F64="","Chưa nhập D",IF(COUNTIF($B$7:$B$66,B64)&gt;1,"MSSV bị trùng","OK")))))</f>
        <v/>
      </c>
      <c r="M64" s="11" t="n"/>
    </row>
    <row r="65">
      <c r="A65" s="5">
        <f>IF(B65="","",ROW()-6)</f>
        <v/>
      </c>
      <c r="B65" s="10" t="n"/>
      <c r="C65" s="11" t="n"/>
      <c r="D65" s="10" t="n"/>
      <c r="E65" s="10" t="n"/>
      <c r="F65" s="12" t="n"/>
      <c r="G65" s="13">
        <f>IF(D65="","",IFERROR(INDEX('Chấm nhóm'!$V$5:$V$29,MATCH(D65,'Chấm nhóm'!$A$5:$A$29,0)),""))</f>
        <v/>
      </c>
      <c r="H65" s="8">
        <f>IF(D65="","",IFERROR(INDEX('Chấm nhóm'!$W$5:$W$29,MATCH(D65,'Chấm nhóm'!$A$5:$A$29,0)),""))</f>
        <v/>
      </c>
      <c r="I65" s="13">
        <f>IF(OR(G65="",F65=""),"",G65+F65)</f>
        <v/>
      </c>
      <c r="J65" s="13">
        <f>IF(I65="","",ROUND(IF(H65="Có",IF($C$4="Phần nhóm",MIN(7,G65)+F65,MIN(8,I65)),I65)*4,0)/4)</f>
        <v/>
      </c>
      <c r="K65" s="8">
        <f>IF(J65="","",IF(J65&gt;=9,"Xuất sắc",IF(J65&gt;=8,"Giỏi",IF(J65&gt;=6.5,"Khá",IF(J65&gt;=5,"Trung bình",IF(J65&gt;=3,"Yếu","Kém"))))))</f>
        <v/>
      </c>
      <c r="L65" s="14">
        <f>IF(B65="","",IF(D65="","Chưa chọn nhóm",IF(ISNA(MATCH(D65,'Chấm nhóm'!$A$5:$A$29,0)),"Mã nhóm không có",IF(F65="","Chưa nhập D",IF(COUNTIF($B$7:$B$66,B65)&gt;1,"MSSV bị trùng","OK")))))</f>
        <v/>
      </c>
      <c r="M65" s="11" t="n"/>
    </row>
    <row r="66">
      <c r="A66" s="5">
        <f>IF(B66="","",ROW()-6)</f>
        <v/>
      </c>
      <c r="B66" s="10" t="n"/>
      <c r="C66" s="11" t="n"/>
      <c r="D66" s="10" t="n"/>
      <c r="E66" s="10" t="n"/>
      <c r="F66" s="12" t="n"/>
      <c r="G66" s="13">
        <f>IF(D66="","",IFERROR(INDEX('Chấm nhóm'!$V$5:$V$29,MATCH(D66,'Chấm nhóm'!$A$5:$A$29,0)),""))</f>
        <v/>
      </c>
      <c r="H66" s="8">
        <f>IF(D66="","",IFERROR(INDEX('Chấm nhóm'!$W$5:$W$29,MATCH(D66,'Chấm nhóm'!$A$5:$A$29,0)),""))</f>
        <v/>
      </c>
      <c r="I66" s="13">
        <f>IF(OR(G66="",F66=""),"",G66+F66)</f>
        <v/>
      </c>
      <c r="J66" s="13">
        <f>IF(I66="","",ROUND(IF(H66="Có",IF($C$4="Phần nhóm",MIN(7,G66)+F66,MIN(8,I66)),I66)*4,0)/4)</f>
        <v/>
      </c>
      <c r="K66" s="8">
        <f>IF(J66="","",IF(J66&gt;=9,"Xuất sắc",IF(J66&gt;=8,"Giỏi",IF(J66&gt;=6.5,"Khá",IF(J66&gt;=5,"Trung bình",IF(J66&gt;=3,"Yếu","Kém"))))))</f>
        <v/>
      </c>
      <c r="L66" s="14">
        <f>IF(B66="","",IF(D66="","Chưa chọn nhóm",IF(ISNA(MATCH(D66,'Chấm nhóm'!$A$5:$A$29,0)),"Mã nhóm không có",IF(F66="","Chưa nhập D",IF(COUNTIF($B$7:$B$66,B66)&gt;1,"MSSV bị trùng","OK")))))</f>
        <v/>
      </c>
      <c r="M66" s="11" t="n"/>
    </row>
  </sheetData>
  <conditionalFormatting sqref="L7:L66">
    <cfRule type="expression" priority="1" dxfId="0">
      <formula>AND(L7&lt;&gt;"",L7&lt;&gt;"OK")</formula>
    </cfRule>
  </conditionalFormatting>
  <conditionalFormatting sqref="J7:J66">
    <cfRule type="cellIs" priority="2" operator="lessThan" dxfId="0">
      <formula>5</formula>
    </cfRule>
  </conditionalFormatting>
  <dataValidations count="3">
    <dataValidation sqref="C4" showDropDown="0" showInputMessage="0" showErrorMessage="0" allowBlank="0" type="list">
      <formula1>"Điểm cuối,Phần nhóm"</formula1>
    </dataValidation>
    <dataValidation sqref="D7 D8 D9 D10 D11 D12 D13 D14 D15 D16 D17 D18 D19 D20 D21 D22 D23 D24 D25 D26 D27 D28 D29 D30 D31 D32 D33 D34 D35 D36 D37 D38 D39 D40 D41 D42 D43 D44 D45 D46 D47 D48 D49 D50 D51 D52 D53 D54 D55 D56 D57 D58 D59 D60 D61 D62 D63 D64 D65 D66" showDropDown="0" showInputMessage="0" showErrorMessage="1" allowBlank="1" error="Chọn giá trị trong danh sách." type="list">
      <formula1>='Chấm nhóm'!$A$5:$A$29</formula1>
    </dataValidation>
    <dataValidation sqref="F7 F8 F9 F10 F11 F12 F13 F14 F15 F16 F17 F18 F19 F20 F21 F22 F23 F24 F25 F26 F27 F28 F29 F30 F31 F32 F33 F34 F35 F36 F37 F38 F39 F40 F41 F42 F43 F44 F45 F46 F47 F48 F49 F50 F51 F52 F53 F54 F55 F56 F57 F58 F59 F60 F61 F62 F63 F64 F65 F66" showDropDown="0" showInputMessage="0" showErrorMessage="1" allowBlank="1" error="Chọn giá trị trong danh sách." type="list">
      <formula1>"0,0.25,0.5,0.75,1"</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7"/>
  <sheetViews>
    <sheetView zoomScale="100" workbookViewId="0">
      <selection activeCell="A1" sqref="A1"/>
    </sheetView>
  </sheetViews>
  <sheetFormatPr baseColWidth="8" defaultRowHeight="15"/>
  <cols>
    <col width="34" customWidth="1" min="1" max="1"/>
    <col width="14" customWidth="1" min="2" max="2"/>
    <col width="14" customWidth="1" min="3" max="3"/>
  </cols>
  <sheetData>
    <row r="1">
      <c r="A1" s="1" t="inlineStr">
        <is>
          <t>TỔNG HỢP ĐIỂM THI VẤN ĐÁP</t>
        </is>
      </c>
    </row>
    <row r="3">
      <c r="A3" s="4" t="inlineStr">
        <is>
          <t>Chỉ số</t>
        </is>
      </c>
      <c r="B3" s="4" t="inlineStr">
        <is>
          <t>Giá trị</t>
        </is>
      </c>
    </row>
    <row r="4">
      <c r="A4" s="6" t="inlineStr">
        <is>
          <t>Số sinh viên đã có điểm</t>
        </is>
      </c>
      <c r="B4" s="17">
        <f>COUNT('Chấm cá nhân'!$J$7:$J$66)</f>
        <v/>
      </c>
    </row>
    <row r="5">
      <c r="A5" s="6" t="inlineStr">
        <is>
          <t>Điểm trung bình</t>
        </is>
      </c>
      <c r="B5" s="13">
        <f>IF(COUNT('Chấm cá nhân'!$J$7:$J$66)=0,"",AVERAGE('Chấm cá nhân'!$J$7:$J$66))</f>
        <v/>
      </c>
    </row>
    <row r="6">
      <c r="A6" s="6" t="inlineStr">
        <is>
          <t>Điểm cao nhất</t>
        </is>
      </c>
      <c r="B6" s="13">
        <f>IF(COUNT('Chấm cá nhân'!$J$7:$J$66)=0,"",MAX('Chấm cá nhân'!$J$7:$J$66))</f>
        <v/>
      </c>
    </row>
    <row r="7">
      <c r="A7" s="6" t="inlineStr">
        <is>
          <t>Điểm thấp nhất</t>
        </is>
      </c>
      <c r="B7" s="13">
        <f>IF(COUNT('Chấm cá nhân'!$J$7:$J$66)=0,"",MIN('Chấm cá nhân'!$J$7:$J$66))</f>
        <v/>
      </c>
    </row>
    <row r="8">
      <c r="A8" s="6" t="inlineStr">
        <is>
          <t>Số nhóm đã chấm</t>
        </is>
      </c>
      <c r="B8" s="17">
        <f>COUNT('Chấm nhóm'!$V$5:$V$29)</f>
        <v/>
      </c>
    </row>
    <row r="9">
      <c r="A9" s="6" t="inlineStr">
        <is>
          <t>Số nhóm đã nhận câu vớt</t>
        </is>
      </c>
      <c r="B9" s="17">
        <f>COUNTIF('Chấm nhóm'!$W$5:$W$29,"Có")</f>
        <v/>
      </c>
    </row>
    <row r="11">
      <c r="A11" s="4" t="inlineStr">
        <is>
          <t>Xếp loại</t>
        </is>
      </c>
      <c r="B11" s="4" t="inlineStr">
        <is>
          <t>Số SV</t>
        </is>
      </c>
      <c r="C11" s="4" t="inlineStr">
        <is>
          <t>Tỷ lệ</t>
        </is>
      </c>
    </row>
    <row r="12">
      <c r="A12" s="6" t="inlineStr">
        <is>
          <t>Xuất sắc</t>
        </is>
      </c>
      <c r="B12" s="17">
        <f>COUNTIF('Chấm cá nhân'!$K$7:$K$66,"Xuất sắc")</f>
        <v/>
      </c>
      <c r="C12" s="18">
        <f>IF($B$4=0,"",B12/$B$4)</f>
        <v/>
      </c>
    </row>
    <row r="13">
      <c r="A13" s="6" t="inlineStr">
        <is>
          <t>Giỏi</t>
        </is>
      </c>
      <c r="B13" s="17">
        <f>COUNTIF('Chấm cá nhân'!$K$7:$K$66,"Giỏi")</f>
        <v/>
      </c>
      <c r="C13" s="18">
        <f>IF($B$4=0,"",B13/$B$4)</f>
        <v/>
      </c>
    </row>
    <row r="14">
      <c r="A14" s="6" t="inlineStr">
        <is>
          <t>Khá</t>
        </is>
      </c>
      <c r="B14" s="17">
        <f>COUNTIF('Chấm cá nhân'!$K$7:$K$66,"Khá")</f>
        <v/>
      </c>
      <c r="C14" s="18">
        <f>IF($B$4=0,"",B14/$B$4)</f>
        <v/>
      </c>
    </row>
    <row r="15">
      <c r="A15" s="6" t="inlineStr">
        <is>
          <t>Trung bình</t>
        </is>
      </c>
      <c r="B15" s="17">
        <f>COUNTIF('Chấm cá nhân'!$K$7:$K$66,"Trung bình")</f>
        <v/>
      </c>
      <c r="C15" s="18">
        <f>IF($B$4=0,"",B15/$B$4)</f>
        <v/>
      </c>
    </row>
    <row r="16">
      <c r="A16" s="6" t="inlineStr">
        <is>
          <t>Yếu</t>
        </is>
      </c>
      <c r="B16" s="17">
        <f>COUNTIF('Chấm cá nhân'!$K$7:$K$66,"Yếu")</f>
        <v/>
      </c>
      <c r="C16" s="18">
        <f>IF($B$4=0,"",B16/$B$4)</f>
        <v/>
      </c>
    </row>
    <row r="17">
      <c r="A17" s="6" t="inlineStr">
        <is>
          <t>Kém</t>
        </is>
      </c>
      <c r="B17" s="17">
        <f>COUNTIF('Chấm cá nhân'!$K$7:$K$66,"Kém")</f>
        <v/>
      </c>
      <c r="C17" s="18">
        <f>IF($B$4=0,"",B17/$B$4)</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7"/>
  <sheetViews>
    <sheetView zoomScale="100" workbookViewId="0">
      <selection activeCell="A1" sqref="A1"/>
    </sheetView>
  </sheetViews>
  <sheetFormatPr baseColWidth="8" defaultRowHeight="15"/>
  <cols>
    <col width="30" customWidth="1" min="1" max="1"/>
    <col width="7" customWidth="1" min="2" max="2"/>
    <col width="7" customWidth="1" min="3" max="3"/>
    <col width="7" customWidth="1" min="4" max="4"/>
    <col width="7" customWidth="1" min="5" max="5"/>
    <col width="13" customWidth="1" min="6" max="6"/>
    <col width="9" customWidth="1" min="7" max="7"/>
    <col width="11" customWidth="1" min="8" max="8"/>
    <col width="10" customWidth="1" min="9" max="9"/>
    <col width="10" customWidth="1" min="10" max="10"/>
    <col width="7" customWidth="1" min="11" max="11"/>
    <col width="14" customWidth="1" min="12" max="12"/>
    <col width="14" customWidth="1" min="13" max="13"/>
    <col width="16" customWidth="1" min="14" max="14"/>
  </cols>
  <sheetData>
    <row r="1">
      <c r="A1" s="1" t="inlineStr">
        <is>
          <t>4 VÍ DỤ TRONG RUBRIC (cùng công thức với hai sheet chấm)</t>
        </is>
      </c>
    </row>
    <row r="3">
      <c r="A3" s="4" t="inlineStr">
        <is>
          <t>Ví dụ</t>
        </is>
      </c>
      <c r="B3" s="4" t="inlineStr">
        <is>
          <t>A</t>
        </is>
      </c>
      <c r="C3" s="4" t="inlineStr">
        <is>
          <t>B</t>
        </is>
      </c>
      <c r="D3" s="4" t="inlineStr">
        <is>
          <t>C1</t>
        </is>
      </c>
      <c r="E3" s="4" t="inlineStr">
        <is>
          <t>C2</t>
        </is>
      </c>
      <c r="F3" s="4" t="inlineStr">
        <is>
          <t>Câu vớt</t>
        </is>
      </c>
      <c r="G3" s="4" t="inlineStr">
        <is>
          <t>Điểm vớt</t>
        </is>
      </c>
      <c r="H3" s="4" t="inlineStr">
        <is>
          <t>Vớt thay cho</t>
        </is>
      </c>
      <c r="I3" s="4" t="inlineStr">
        <is>
          <t>C sau vớt</t>
        </is>
      </c>
      <c r="J3" s="4" t="inlineStr">
        <is>
          <t>Điểm nhóm</t>
        </is>
      </c>
      <c r="K3" s="4" t="inlineStr">
        <is>
          <t>D</t>
        </is>
      </c>
      <c r="L3" s="4" t="inlineStr">
        <is>
          <t>Điểm cuối (trần: Điểm cuối)</t>
        </is>
      </c>
      <c r="M3" s="4" t="inlineStr">
        <is>
          <t>Điểm cuối (trần: Phần nhóm)</t>
        </is>
      </c>
      <c r="N3" s="4" t="inlineStr">
        <is>
          <t>Kỳ vọng (rubric)</t>
        </is>
      </c>
    </row>
    <row r="4">
      <c r="A4" s="6" t="inlineStr">
        <is>
          <t>1. Không dùng câu vớt</t>
        </is>
      </c>
      <c r="B4" s="10" t="n">
        <v>2.5</v>
      </c>
      <c r="C4" s="10" t="n">
        <v>1.75</v>
      </c>
      <c r="D4" s="10" t="n">
        <v>2</v>
      </c>
      <c r="E4" s="10" t="n">
        <v>1.5</v>
      </c>
      <c r="F4" s="10" t="inlineStr">
        <is>
          <t>Không cần</t>
        </is>
      </c>
      <c r="G4" s="10" t="n"/>
      <c r="H4" s="8">
        <f>IF(F4="Đã hỏi",IF(MIN(N(D4),N(E4))&lt;=0.5,IF(N(D4)&lt;=N(E4),"C1","C2"),""),"")</f>
        <v/>
      </c>
      <c r="I4" s="13">
        <f>IF(H4="C1",MAX(N(D4),N(G4)),N(D4))+IF(H4="C2",MAX(N(E4),N(G4)),N(E4))</f>
        <v/>
      </c>
      <c r="J4" s="13">
        <f>B4+C4+I4</f>
        <v/>
      </c>
      <c r="K4" s="12" t="n">
        <v>1</v>
      </c>
      <c r="L4" s="13">
        <f>ROUND(IF(F4="Đã hỏi",MIN(8,J4+K4),J4+K4)*4,0)/4</f>
        <v/>
      </c>
      <c r="M4" s="13">
        <f>ROUND(IF(F4="Đã hỏi",MIN(7,J4)+K4,J4+K4)*4,0)/4</f>
        <v/>
      </c>
      <c r="N4" s="19" t="n">
        <v>8.75</v>
      </c>
    </row>
    <row r="5">
      <c r="A5" s="6" t="inlineStr">
        <is>
          <t>2. Dùng câu vớt, trả lời tốt</t>
        </is>
      </c>
      <c r="B5" s="10" t="n">
        <v>3</v>
      </c>
      <c r="C5" s="10" t="n">
        <v>2</v>
      </c>
      <c r="D5" s="10" t="n">
        <v>2</v>
      </c>
      <c r="E5" s="10" t="n">
        <v>0</v>
      </c>
      <c r="F5" s="10" t="inlineStr">
        <is>
          <t>Đã hỏi</t>
        </is>
      </c>
      <c r="G5" s="10" t="n">
        <v>2</v>
      </c>
      <c r="H5" s="8">
        <f>IF(F5="Đã hỏi",IF(MIN(N(D5),N(E5))&lt;=0.5,IF(N(D5)&lt;=N(E5),"C1","C2"),""),"")</f>
        <v/>
      </c>
      <c r="I5" s="13">
        <f>IF(H5="C1",MAX(N(D5),N(G5)),N(D5))+IF(H5="C2",MAX(N(E5),N(G5)),N(E5))</f>
        <v/>
      </c>
      <c r="J5" s="13">
        <f>B5+C5+I5</f>
        <v/>
      </c>
      <c r="K5" s="12" t="n">
        <v>1</v>
      </c>
      <c r="L5" s="13">
        <f>ROUND(IF(F5="Đã hỏi",MIN(8,J5+K5),J5+K5)*4,0)/4</f>
        <v/>
      </c>
      <c r="M5" s="13">
        <f>ROUND(IF(F5="Đã hỏi",MIN(7,J5)+K5,J5+K5)*4,0)/4</f>
        <v/>
      </c>
      <c r="N5" s="19" t="n">
        <v>8</v>
      </c>
    </row>
    <row r="6">
      <c r="A6" s="6" t="inlineStr">
        <is>
          <t>3. Nhóm từ chối câu vớt</t>
        </is>
      </c>
      <c r="B6" s="10" t="n">
        <v>3</v>
      </c>
      <c r="C6" s="10" t="n">
        <v>2</v>
      </c>
      <c r="D6" s="10" t="n">
        <v>2</v>
      </c>
      <c r="E6" s="10" t="n">
        <v>0.5</v>
      </c>
      <c r="F6" s="10" t="inlineStr">
        <is>
          <t>Nhóm từ chối</t>
        </is>
      </c>
      <c r="G6" s="10" t="n"/>
      <c r="H6" s="8">
        <f>IF(F6="Đã hỏi",IF(MIN(N(D6),N(E6))&lt;=0.5,IF(N(D6)&lt;=N(E6),"C1","C2"),""),"")</f>
        <v/>
      </c>
      <c r="I6" s="13">
        <f>IF(H6="C1",MAX(N(D6),N(G6)),N(D6))+IF(H6="C2",MAX(N(E6),N(G6)),N(E6))</f>
        <v/>
      </c>
      <c r="J6" s="13">
        <f>B6+C6+I6</f>
        <v/>
      </c>
      <c r="K6" s="12" t="n">
        <v>1</v>
      </c>
      <c r="L6" s="13">
        <f>ROUND(IF(F6="Đã hỏi",MIN(8,J6+K6),J6+K6)*4,0)/4</f>
        <v/>
      </c>
      <c r="M6" s="13">
        <f>ROUND(IF(F6="Đã hỏi",MIN(7,J6)+K6,J6+K6)*4,0)/4</f>
        <v/>
      </c>
      <c r="N6" s="19" t="n">
        <v>8.5</v>
      </c>
    </row>
    <row r="7">
      <c r="A7" s="6" t="inlineStr">
        <is>
          <t>4. Dùng câu vớt, nhóm dưới trần</t>
        </is>
      </c>
      <c r="B7" s="10" t="n">
        <v>2</v>
      </c>
      <c r="C7" s="10" t="n">
        <v>1.5</v>
      </c>
      <c r="D7" s="10" t="n">
        <v>0.5</v>
      </c>
      <c r="E7" s="10" t="n">
        <v>1</v>
      </c>
      <c r="F7" s="10" t="inlineStr">
        <is>
          <t>Đã hỏi</t>
        </is>
      </c>
      <c r="G7" s="10" t="n">
        <v>1.5</v>
      </c>
      <c r="H7" s="8">
        <f>IF(F7="Đã hỏi",IF(MIN(N(D7),N(E7))&lt;=0.5,IF(N(D7)&lt;=N(E7),"C1","C2"),""),"")</f>
        <v/>
      </c>
      <c r="I7" s="13">
        <f>IF(H7="C1",MAX(N(D7),N(G7)),N(D7))+IF(H7="C2",MAX(N(E7),N(G7)),N(E7))</f>
        <v/>
      </c>
      <c r="J7" s="13">
        <f>B7+C7+I7</f>
        <v/>
      </c>
      <c r="K7" s="12" t="n">
        <v>0.75</v>
      </c>
      <c r="L7" s="13">
        <f>ROUND(IF(F7="Đã hỏi",MIN(8,J7+K7),J7+K7)*4,0)/4</f>
        <v/>
      </c>
      <c r="M7" s="13">
        <f>ROUND(IF(F7="Đã hỏi",MIN(7,J7)+K7,J7+K7)*4,0)/4</f>
        <v/>
      </c>
      <c r="N7" s="19" t="n">
        <v>6.75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2026-10-23T00:21:47Z</dcterms:created>
  <dcterms:modified xmlns:dcterms="http://purl.org/dc/terms/" xmlns:xsi="http://www.w3.org/2001/XMLSchema-instance" xsi:type="dcterms:W3CDTF">2026-10-23T00:21:47Z</dcterms:modified>
</cp:coreProperties>
</file>